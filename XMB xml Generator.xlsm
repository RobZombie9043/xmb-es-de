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ES-DE\ES-DE\themes\xmb-es-de\"/>
    </mc:Choice>
  </mc:AlternateContent>
  <xr:revisionPtr revIDLastSave="0" documentId="13_ncr:1_{98674C22-018E-4E19-ACAC-B97DFB343DAE}" xr6:coauthVersionLast="47" xr6:coauthVersionMax="47" xr10:uidLastSave="{00000000-0000-0000-0000-000000000000}"/>
  <bookViews>
    <workbookView xWindow="-120" yWindow="-120" windowWidth="38640" windowHeight="15840" activeTab="4" xr2:uid="{00000000-000D-0000-FFFF-FFFF00000000}"/>
  </bookViews>
  <sheets>
    <sheet name="Instructions" sheetId="1" r:id="rId1"/>
    <sheet name="Systems" sheetId="2" r:id="rId2"/>
    <sheet name="Auto-Collections" sheetId="7" r:id="rId3"/>
    <sheet name="Custom-Collections" sheetId="10" r:id="rId4"/>
    <sheet name="Output" sheetId="6" r:id="rId5"/>
    <sheet name="Working" sheetId="3" state="hidden" r:id="rId6"/>
    <sheet name="SystemSort" sheetId="12" state="hidden" r:id="rId7"/>
    <sheet name="XML" sheetId="5" state="hidden" r:id="rId8"/>
  </sheets>
  <definedNames>
    <definedName name="_xlnm._FilterDatabase" localSheetId="2" hidden="1">'Auto-Collections'!$A$1:$A$1</definedName>
    <definedName name="_xlnm._FilterDatabase" localSheetId="3" hidden="1">'Custom-Collections'!$A$1:$A$1</definedName>
    <definedName name="_xlnm._FilterDatabase" localSheetId="4" hidden="1">Output!$A$1:$B$1</definedName>
    <definedName name="_xlnm._FilterDatabase" localSheetId="1" hidden="1">Systems!$A$1:$F$196</definedName>
    <definedName name="_xlnm._FilterDatabase" localSheetId="6" hidden="1">SystemSort!$A$1:$B$1</definedName>
    <definedName name="_xlnm._FilterDatabase" localSheetId="5" hidden="1">Working!$A$1:$B$1</definedName>
    <definedName name="_xleta.ISBLANK" hidden="1" xlm="1">#NAME?</definedName>
    <definedName name="_xlpm.allFalseFlags" hidden="1" xlm="1">#NAME?</definedName>
    <definedName name="_xlpm.anyFlag" hidden="1" xlm="1">#NAME?</definedName>
    <definedName name="_xlpm.anyTrue" hidden="1" xlm="1">#NAME?</definedName>
    <definedName name="_xlpm.auto1" hidden="1" xlm="1">#NAME?</definedName>
    <definedName name="_xlpm.auto1raw" hidden="1" xlm="1">#NAME?</definedName>
    <definedName name="_xlpm.auto2" hidden="1" xlm="1">#NAME?</definedName>
    <definedName name="_xlpm.auto2raw" hidden="1" xlm="1">#NAME?</definedName>
    <definedName name="_xlpm.auto3" hidden="1" xlm="1">#NAME?</definedName>
    <definedName name="_xlpm.auto3raw" hidden="1" xlm="1">#NAME?</definedName>
    <definedName name="_xlpm.autoKeys" hidden="1" xlm="1">#NAME?</definedName>
    <definedName name="_xlpm.autoRaw" hidden="1" xlm="1">#NAME?</definedName>
    <definedName name="_xlpm.autoRows" hidden="1" xlm="1">#NAME?</definedName>
    <definedName name="_xlpm.autoStack" hidden="1" xlm="1">#NAME?</definedName>
    <definedName name="_xlpm.bCol" hidden="1" xlm="1">#NAME?</definedName>
    <definedName name="_xlpm.bRange" hidden="1" xlm="1">#NAME?</definedName>
    <definedName name="_xlpm.c" hidden="1" xlm="1">#NAME?</definedName>
    <definedName name="_xlpm.colFlags" hidden="1" xlm="1">#NAME?</definedName>
    <definedName name="_xlpm.collectionsData" hidden="1" xlm="1">#NAME?</definedName>
    <definedName name="_xlpm.collectionsRows" hidden="1" xlm="1">#NAME?</definedName>
    <definedName name="_xlpm.combined" hidden="1" xlm="1">#NAME?</definedName>
    <definedName name="_xlpm.combinedFirstTwo" hidden="1" xlm="1">#NAME?</definedName>
    <definedName name="_xlpm.customData" hidden="1" xlm="1">#NAME?</definedName>
    <definedName name="_xlpm.customDataPre" hidden="1" xlm="1">#NAME?</definedName>
    <definedName name="_xlpm.customEmpty" hidden="1" xlm="1">#NAME?</definedName>
    <definedName name="_xlpm.customRaw" hidden="1" xlm="1">#NAME?</definedName>
    <definedName name="_xlpm.customSystems" hidden="1" xlm="1">#NAME?</definedName>
    <definedName name="_xlpm.customSystems2Col" hidden="1" xlm="1">#NAME?</definedName>
    <definedName name="_xlpm.customSystemsRaw" hidden="1" xlm="1">#NAME?</definedName>
    <definedName name="_xlpm.customWeight" hidden="1" xlm="1">#NAME?</definedName>
    <definedName name="_xlpm.data" hidden="1" xlm="1">#NAME?</definedName>
    <definedName name="_xlpm.dCol" hidden="1" xlm="1">#NAME?</definedName>
    <definedName name="_xlpm.dRange" hidden="1" xlm="1">#NAME?</definedName>
    <definedName name="_xlpm.emptyArr" hidden="1" xlm="1">#NAME?</definedName>
    <definedName name="_xlpm.excludeLabels" hidden="1" xlm="1">#NAME?</definedName>
    <definedName name="_xlpm.fCol" hidden="1" xlm="1">#NAME?</definedName>
    <definedName name="_xlpm.filteredB" hidden="1" xlm="1">#NAME?</definedName>
    <definedName name="_xlpm.filteredCollections" hidden="1" xlm="1">#NAME?</definedName>
    <definedName name="_xlpm.filteredCustom" hidden="1" xlm="1">#NAME?</definedName>
    <definedName name="_xlpm.filteredD" hidden="1" xlm="1">#NAME?</definedName>
    <definedName name="_xlpm.filteredFCol" hidden="1" xlm="1">#NAME?</definedName>
    <definedName name="_xlpm.filteredIsAutoCollection" hidden="1" xlm="1">#NAME?</definedName>
    <definedName name="_xlpm.filteredIsCustom" hidden="1" xlm="1">#NAME?</definedName>
    <definedName name="_xlpm.filteredNewColB" hidden="1" xlm="1">#NAME?</definedName>
    <definedName name="_xlpm.finalResult" hidden="1" xlm="1">#NAME?</definedName>
    <definedName name="_xlpm.finalStack" hidden="1" xlm="1">#NAME?</definedName>
    <definedName name="_xlpm.flag1" hidden="1" xlm="1">#NAME?</definedName>
    <definedName name="_xlpm.flag2" hidden="1" xlm="1">#NAME?</definedName>
    <definedName name="_xlpm.flag3" hidden="1" xlm="1">#NAME?</definedName>
    <definedName name="_xlpm.flags" hidden="1" xlm="1">#NAME?</definedName>
    <definedName name="_xlpm.fRange" hidden="1" xlm="1">#NAME?</definedName>
    <definedName name="_xlpm.fullCustom" hidden="1" xlm="1">#NAME?</definedName>
    <definedName name="_xlpm.fullCustomFiltered" hidden="1" xlm="1">#NAME?</definedName>
    <definedName name="_xlpm.fullCustomRaw" hidden="1" xlm="1">#NAME?</definedName>
    <definedName name="_xlpm.hasAuto" hidden="1" xlm="1">#NAME?</definedName>
    <definedName name="_xlpm.hasAutoData" hidden="1" xlm="1">#NAME?</definedName>
    <definedName name="_xlpm.hasCustom" hidden="1" xlm="1">#NAME?</definedName>
    <definedName name="_xlpm.hasCustomData" hidden="1" xlm="1">#NAME?</definedName>
    <definedName name="_xlpm.includeMask" hidden="1" xlm="1">#NAME?</definedName>
    <definedName name="_xlpm.includeRow" hidden="1" xlm="1">#NAME?</definedName>
    <definedName name="_xlpm.isAutoCollection" hidden="1" xlm="1">#NAME?</definedName>
    <definedName name="_xlpm.isCustom" hidden="1" xlm="1">#NAME?</definedName>
    <definedName name="_xlpm.isCustomCollection" hidden="1" xlm="1">#NAME?</definedName>
    <definedName name="_xlpm.isCustomCollectionName" hidden="1" xlm="1">#NAME?</definedName>
    <definedName name="_xlpm.labelOrder" hidden="1" xlm="1">#NAME?</definedName>
    <definedName name="_xlpm.newColB" hidden="1" xlm="1">#NAME?</definedName>
    <definedName name="_xlpm.r" hidden="1" xlm="1">#NAME?</definedName>
    <definedName name="_xlpm.result" hidden="1" xlm="1">#NAME?</definedName>
    <definedName name="_xlpm.rows" hidden="1" xlm="1">#NAME?</definedName>
    <definedName name="_xlpm.rowsColl" hidden="1" xlm="1">#NAME?</definedName>
    <definedName name="_xlpm.rowsSorted" hidden="1" xlm="1">#NAME?</definedName>
    <definedName name="_xlpm.secondarySort" hidden="1" xlm="1">#NAME?</definedName>
    <definedName name="_xlpm.showCustomCollections" hidden="1" xlm="1">#NAME?</definedName>
    <definedName name="_xlpm.simpleCustom" hidden="1" xlm="1">#NAME?</definedName>
    <definedName name="_xlpm.sortedData" hidden="1" xlm="1">#NAME?</definedName>
    <definedName name="_xlpm.sortLevel" hidden="1" xlm="1">#NAME?</definedName>
    <definedName name="_xlpm.sortOrder" hidden="1" xlm="1">#NAME?</definedName>
    <definedName name="_xlpm.stackWithCustom" hidden="1" xlm="1">#NAME?</definedName>
    <definedName name="_xlpm.step1" hidden="1" xlm="1">#NAME?</definedName>
    <definedName name="_xlpm.step2" hidden="1" xlm="1">#NAME?</definedName>
    <definedName name="_xlpm.step3" hidden="1" xlm="1">#NAME?</definedName>
    <definedName name="_xlpm.topStack" hidden="1" xlm="1">#NAME?</definedName>
    <definedName name="_xlpm.useSimpleCustom" hidden="1" xlm="1">#NAME?</definedName>
    <definedName name="_xlpm.validAuto" hidden="1" xlm="1">#NAME?</definedName>
    <definedName name="_xlpm.validCustom" hidden="1" xlm="1">#NAME?</definedName>
    <definedName name="_xlpm.withCustom" hidden="1" xlm="1">#NAME?</definedName>
    <definedName name="DropdownList" localSheetId="4">_xlfn._xlws.FILTER(INDEX(_xlfn.ANCHORARRAY(Output!XET1), , 1), INDEX(_xlfn.ANCHORARRAY(Output!XET1), , 1)&lt;&gt;"")</definedName>
    <definedName name="DropdownList" localSheetId="6">_xlfn._xlws.FILTER(INDEX(_xlfn.ANCHORARRAY(SystemSort!XET1), , 1), INDEX(_xlfn.ANCHORARRAY(SystemSort!XET1), , 1)&lt;&gt;"")</definedName>
    <definedName name="DropdownList">_xlfn._xlws.FILTER(INDEX(_xlfn.ANCHORARRAY(Working!XET1), , 1), INDEX(_xlfn.ANCHORARRAY(Working!XET1), , 1)&lt;&gt;"")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3" l="1" a="1"/>
  <c r="C39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C40" i="3" a="1"/>
  <c r="C40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I40" i="3" a="1"/>
  <c r="I40" i="3" s="1"/>
  <c r="J40" i="3" a="1"/>
  <c r="J40" i="3" s="1"/>
  <c r="K40" i="3" a="1"/>
  <c r="K40" i="3" s="1"/>
  <c r="L40" i="3" a="1"/>
  <c r="L40" i="3" s="1"/>
  <c r="C41" i="3" a="1"/>
  <c r="C41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I41" i="3" a="1"/>
  <c r="I41" i="3" s="1"/>
  <c r="J41" i="3" a="1"/>
  <c r="J41" i="3" s="1"/>
  <c r="K41" i="3" a="1"/>
  <c r="K41" i="3" s="1"/>
  <c r="L41" i="3" a="1"/>
  <c r="L41" i="3" s="1"/>
  <c r="C42" i="3" a="1"/>
  <c r="C42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I42" i="3" a="1"/>
  <c r="I42" i="3" s="1"/>
  <c r="J42" i="3" a="1"/>
  <c r="J42" i="3" s="1"/>
  <c r="K42" i="3" a="1"/>
  <c r="K42" i="3" s="1"/>
  <c r="L42" i="3" a="1"/>
  <c r="L42" i="3" s="1"/>
  <c r="C43" i="3" a="1"/>
  <c r="C43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I43" i="3" a="1"/>
  <c r="I43" i="3" s="1"/>
  <c r="J43" i="3" a="1"/>
  <c r="J43" i="3" s="1"/>
  <c r="K43" i="3" a="1"/>
  <c r="K43" i="3" s="1"/>
  <c r="L43" i="3" a="1"/>
  <c r="L43" i="3" s="1"/>
  <c r="C44" i="3" a="1"/>
  <c r="C44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I44" i="3" a="1"/>
  <c r="I44" i="3" s="1"/>
  <c r="J44" i="3" a="1"/>
  <c r="J44" i="3" s="1"/>
  <c r="K44" i="3" a="1"/>
  <c r="K44" i="3" s="1"/>
  <c r="L44" i="3" a="1"/>
  <c r="L44" i="3" s="1"/>
  <c r="C45" i="3" a="1"/>
  <c r="C45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I45" i="3" a="1"/>
  <c r="I45" i="3" s="1"/>
  <c r="J45" i="3" a="1"/>
  <c r="J45" i="3" s="1"/>
  <c r="K45" i="3" a="1"/>
  <c r="K45" i="3" s="1"/>
  <c r="L45" i="3" a="1"/>
  <c r="L45" i="3" s="1"/>
  <c r="C46" i="3" a="1"/>
  <c r="C46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I46" i="3" a="1"/>
  <c r="I46" i="3" s="1"/>
  <c r="J46" i="3" a="1"/>
  <c r="J46" i="3" s="1"/>
  <c r="K46" i="3" a="1"/>
  <c r="K46" i="3" s="1"/>
  <c r="L46" i="3" a="1"/>
  <c r="L46" i="3" s="1"/>
  <c r="C47" i="3" a="1"/>
  <c r="C47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J47" i="3" a="1"/>
  <c r="J47" i="3" s="1"/>
  <c r="K47" i="3" a="1"/>
  <c r="K47" i="3" s="1"/>
  <c r="L47" i="3" a="1"/>
  <c r="L47" i="3" s="1"/>
  <c r="C48" i="3" a="1"/>
  <c r="C48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I48" i="3" a="1"/>
  <c r="I48" i="3" s="1"/>
  <c r="J48" i="3" a="1"/>
  <c r="J48" i="3" s="1"/>
  <c r="K48" i="3" a="1"/>
  <c r="K48" i="3" s="1"/>
  <c r="L48" i="3" a="1"/>
  <c r="L48" i="3" s="1"/>
  <c r="C49" i="3" a="1"/>
  <c r="C49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C50" i="3" a="1"/>
  <c r="C50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C51" i="3" a="1"/>
  <c r="C51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I51" i="3" a="1"/>
  <c r="I51" i="3" s="1"/>
  <c r="J51" i="3" a="1"/>
  <c r="J51" i="3" s="1"/>
  <c r="K51" i="3" a="1"/>
  <c r="K51" i="3" s="1"/>
  <c r="L51" i="3" a="1"/>
  <c r="L51" i="3" s="1"/>
  <c r="C52" i="3" a="1"/>
  <c r="C52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I52" i="3" a="1"/>
  <c r="I52" i="3" s="1"/>
  <c r="J52" i="3" a="1"/>
  <c r="J52" i="3" s="1"/>
  <c r="K52" i="3" a="1"/>
  <c r="K52" i="3" s="1"/>
  <c r="L52" i="3" a="1"/>
  <c r="L52" i="3" s="1"/>
  <c r="C53" i="3" a="1"/>
  <c r="C53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I53" i="3" a="1"/>
  <c r="I53" i="3" s="1"/>
  <c r="J53" i="3" a="1"/>
  <c r="J53" i="3" s="1"/>
  <c r="K53" i="3" a="1"/>
  <c r="K53" i="3" s="1"/>
  <c r="L53" i="3" a="1"/>
  <c r="L53" i="3" s="1"/>
  <c r="C54" i="3" a="1"/>
  <c r="C54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I54" i="3" a="1"/>
  <c r="I54" i="3" s="1"/>
  <c r="J54" i="3" a="1"/>
  <c r="J54" i="3" s="1"/>
  <c r="K54" i="3" a="1"/>
  <c r="K54" i="3" s="1"/>
  <c r="L54" i="3" a="1"/>
  <c r="L54" i="3" s="1"/>
  <c r="C55" i="3" a="1"/>
  <c r="C55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I55" i="3" a="1"/>
  <c r="I55" i="3" s="1"/>
  <c r="J55" i="3" a="1"/>
  <c r="J55" i="3" s="1"/>
  <c r="K55" i="3" a="1"/>
  <c r="K55" i="3" s="1"/>
  <c r="L55" i="3" a="1"/>
  <c r="L55" i="3" s="1"/>
  <c r="C56" i="3" a="1"/>
  <c r="C56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I56" i="3" a="1"/>
  <c r="I56" i="3" s="1"/>
  <c r="J56" i="3" a="1"/>
  <c r="J56" i="3" s="1"/>
  <c r="K56" i="3" a="1"/>
  <c r="K56" i="3" s="1"/>
  <c r="L56" i="3" a="1"/>
  <c r="L56" i="3" s="1"/>
  <c r="C57" i="3" a="1"/>
  <c r="C57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I57" i="3" a="1"/>
  <c r="I57" i="3" s="1"/>
  <c r="J57" i="3" a="1"/>
  <c r="J57" i="3" s="1"/>
  <c r="K57" i="3" a="1"/>
  <c r="K57" i="3" s="1"/>
  <c r="L57" i="3" a="1"/>
  <c r="L57" i="3" s="1"/>
  <c r="C58" i="3" a="1"/>
  <c r="C58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I58" i="3" a="1"/>
  <c r="I58" i="3" s="1"/>
  <c r="J58" i="3" a="1"/>
  <c r="J58" i="3" s="1"/>
  <c r="K58" i="3" a="1"/>
  <c r="K58" i="3" s="1"/>
  <c r="L58" i="3" a="1"/>
  <c r="L58" i="3" s="1"/>
  <c r="C59" i="3" a="1"/>
  <c r="C59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I59" i="3" a="1"/>
  <c r="I59" i="3" s="1"/>
  <c r="J59" i="3" a="1"/>
  <c r="J59" i="3" s="1"/>
  <c r="K59" i="3" a="1"/>
  <c r="K59" i="3" s="1"/>
  <c r="L59" i="3" a="1"/>
  <c r="L59" i="3" s="1"/>
  <c r="C60" i="3" a="1"/>
  <c r="C60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I60" i="3" a="1"/>
  <c r="I60" i="3" s="1"/>
  <c r="J60" i="3" a="1"/>
  <c r="J60" i="3" s="1"/>
  <c r="K60" i="3" a="1"/>
  <c r="K60" i="3" s="1"/>
  <c r="L60" i="3" a="1"/>
  <c r="L60" i="3" s="1"/>
  <c r="C61" i="3" a="1"/>
  <c r="C61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 s="1"/>
  <c r="J61" i="3" a="1"/>
  <c r="J61" i="3" s="1"/>
  <c r="K61" i="3" a="1"/>
  <c r="K61" i="3" s="1"/>
  <c r="L61" i="3" a="1"/>
  <c r="L61" i="3" s="1"/>
  <c r="C62" i="3" a="1"/>
  <c r="C62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I62" i="3" a="1"/>
  <c r="I62" i="3" s="1"/>
  <c r="J62" i="3" a="1"/>
  <c r="J62" i="3" s="1"/>
  <c r="K62" i="3" a="1"/>
  <c r="K62" i="3" s="1"/>
  <c r="L62" i="3" a="1"/>
  <c r="L62" i="3" s="1"/>
  <c r="C63" i="3" a="1"/>
  <c r="C63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I63" i="3" a="1"/>
  <c r="I63" i="3" s="1"/>
  <c r="J63" i="3" a="1"/>
  <c r="J63" i="3" s="1"/>
  <c r="K63" i="3" a="1"/>
  <c r="K63" i="3" s="1"/>
  <c r="L63" i="3" a="1"/>
  <c r="L63" i="3" s="1"/>
  <c r="C64" i="3" a="1"/>
  <c r="C64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I64" i="3" a="1"/>
  <c r="I64" i="3" s="1"/>
  <c r="J64" i="3" a="1"/>
  <c r="J64" i="3" s="1"/>
  <c r="K64" i="3" a="1"/>
  <c r="K64" i="3" s="1"/>
  <c r="L64" i="3" a="1"/>
  <c r="L64" i="3" s="1"/>
  <c r="C65" i="3" a="1"/>
  <c r="C65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I65" i="3" a="1"/>
  <c r="I65" i="3" s="1"/>
  <c r="J65" i="3" a="1"/>
  <c r="J65" i="3" s="1"/>
  <c r="K65" i="3" a="1"/>
  <c r="K65" i="3" s="1"/>
  <c r="L65" i="3" a="1"/>
  <c r="L65" i="3" s="1"/>
  <c r="C66" i="3" a="1"/>
  <c r="C66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I66" i="3" a="1"/>
  <c r="I66" i="3" s="1"/>
  <c r="J66" i="3" a="1"/>
  <c r="J66" i="3" s="1"/>
  <c r="K66" i="3" a="1"/>
  <c r="K66" i="3" s="1"/>
  <c r="L66" i="3" a="1"/>
  <c r="L66" i="3" s="1"/>
  <c r="C67" i="3" a="1"/>
  <c r="C67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I67" i="3" a="1"/>
  <c r="I67" i="3" s="1"/>
  <c r="J67" i="3" a="1"/>
  <c r="J67" i="3" s="1"/>
  <c r="K67" i="3" a="1"/>
  <c r="K67" i="3" s="1"/>
  <c r="L67" i="3" a="1"/>
  <c r="L67" i="3" s="1"/>
  <c r="C68" i="3" a="1"/>
  <c r="C68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I68" i="3" a="1"/>
  <c r="I68" i="3" s="1"/>
  <c r="J68" i="3" a="1"/>
  <c r="J68" i="3" s="1"/>
  <c r="K68" i="3" a="1"/>
  <c r="K68" i="3" s="1"/>
  <c r="L68" i="3" a="1"/>
  <c r="L68" i="3" s="1"/>
  <c r="C69" i="3" a="1"/>
  <c r="C69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J69" i="3" a="1"/>
  <c r="J69" i="3" s="1"/>
  <c r="K69" i="3" a="1"/>
  <c r="K69" i="3" s="1"/>
  <c r="L69" i="3" a="1"/>
  <c r="L69" i="3" s="1"/>
  <c r="C70" i="3" a="1"/>
  <c r="C70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I70" i="3" a="1"/>
  <c r="I70" i="3" s="1"/>
  <c r="J70" i="3" a="1"/>
  <c r="J70" i="3" s="1"/>
  <c r="K70" i="3" a="1"/>
  <c r="K70" i="3" s="1"/>
  <c r="L70" i="3" a="1"/>
  <c r="L70" i="3" s="1"/>
  <c r="C71" i="3" a="1"/>
  <c r="C71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I71" i="3" a="1"/>
  <c r="I71" i="3" s="1"/>
  <c r="J71" i="3" a="1"/>
  <c r="J71" i="3" s="1"/>
  <c r="K71" i="3" a="1"/>
  <c r="K71" i="3" s="1"/>
  <c r="L71" i="3" a="1"/>
  <c r="L71" i="3" s="1"/>
  <c r="C72" i="3" a="1"/>
  <c r="C72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J72" i="3" a="1"/>
  <c r="J72" i="3" s="1"/>
  <c r="K72" i="3" a="1"/>
  <c r="K72" i="3" s="1"/>
  <c r="L72" i="3" a="1"/>
  <c r="L72" i="3" s="1"/>
  <c r="C73" i="3" a="1"/>
  <c r="C73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I73" i="3" a="1"/>
  <c r="I73" i="3" s="1"/>
  <c r="J73" i="3" a="1"/>
  <c r="J73" i="3" s="1"/>
  <c r="K73" i="3" a="1"/>
  <c r="K73" i="3" s="1"/>
  <c r="L73" i="3" a="1"/>
  <c r="L73" i="3" s="1"/>
  <c r="C74" i="3" a="1"/>
  <c r="C74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I74" i="3" a="1"/>
  <c r="I74" i="3" s="1"/>
  <c r="J74" i="3" a="1"/>
  <c r="J74" i="3" s="1"/>
  <c r="K74" i="3" a="1"/>
  <c r="K74" i="3" s="1"/>
  <c r="L74" i="3" a="1"/>
  <c r="L74" i="3" s="1"/>
  <c r="C75" i="3" a="1"/>
  <c r="C75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I75" i="3" a="1"/>
  <c r="I75" i="3" s="1"/>
  <c r="J75" i="3" a="1"/>
  <c r="J75" i="3" s="1"/>
  <c r="K75" i="3" a="1"/>
  <c r="K75" i="3" s="1"/>
  <c r="L75" i="3" a="1"/>
  <c r="L75" i="3" s="1"/>
  <c r="C76" i="3" a="1"/>
  <c r="C76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I76" i="3" a="1"/>
  <c r="I76" i="3" s="1"/>
  <c r="J76" i="3" a="1"/>
  <c r="J76" i="3" s="1"/>
  <c r="K76" i="3" a="1"/>
  <c r="K76" i="3" s="1"/>
  <c r="L76" i="3" a="1"/>
  <c r="L76" i="3" s="1"/>
  <c r="C77" i="3" a="1"/>
  <c r="C77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I77" i="3" a="1"/>
  <c r="I77" i="3" s="1"/>
  <c r="J77" i="3" a="1"/>
  <c r="J77" i="3" s="1"/>
  <c r="K77" i="3" a="1"/>
  <c r="K77" i="3" s="1"/>
  <c r="L77" i="3" a="1"/>
  <c r="L77" i="3" s="1"/>
  <c r="C78" i="3" a="1"/>
  <c r="C78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I78" i="3" a="1"/>
  <c r="I78" i="3" s="1"/>
  <c r="J78" i="3" a="1"/>
  <c r="J78" i="3" s="1"/>
  <c r="K78" i="3" a="1"/>
  <c r="K78" i="3" s="1"/>
  <c r="L78" i="3" a="1"/>
  <c r="L78" i="3" s="1"/>
  <c r="C79" i="3" a="1"/>
  <c r="C79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 s="1"/>
  <c r="J79" i="3" a="1"/>
  <c r="J79" i="3" s="1"/>
  <c r="K79" i="3" a="1"/>
  <c r="K79" i="3" s="1"/>
  <c r="L79" i="3" a="1"/>
  <c r="L79" i="3" s="1"/>
  <c r="C80" i="3" a="1"/>
  <c r="C80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I80" i="3" a="1"/>
  <c r="I80" i="3" s="1"/>
  <c r="J80" i="3" a="1"/>
  <c r="J80" i="3" s="1"/>
  <c r="K80" i="3" a="1"/>
  <c r="K80" i="3" s="1"/>
  <c r="L80" i="3" a="1"/>
  <c r="L80" i="3" s="1"/>
  <c r="C81" i="3" a="1"/>
  <c r="C81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I81" i="3" a="1"/>
  <c r="I81" i="3" s="1"/>
  <c r="J81" i="3" a="1"/>
  <c r="J81" i="3" s="1"/>
  <c r="K81" i="3" a="1"/>
  <c r="K81" i="3" s="1"/>
  <c r="L81" i="3" a="1"/>
  <c r="L81" i="3" s="1"/>
  <c r="C82" i="3" a="1"/>
  <c r="C82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I82" i="3" a="1"/>
  <c r="I82" i="3" s="1"/>
  <c r="J82" i="3" a="1"/>
  <c r="J82" i="3" s="1"/>
  <c r="K82" i="3" a="1"/>
  <c r="K82" i="3" s="1"/>
  <c r="L82" i="3" a="1"/>
  <c r="L82" i="3" s="1"/>
  <c r="C83" i="3" a="1"/>
  <c r="C83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I83" i="3" a="1"/>
  <c r="I83" i="3" s="1"/>
  <c r="J83" i="3" a="1"/>
  <c r="J83" i="3" s="1"/>
  <c r="K83" i="3" a="1"/>
  <c r="K83" i="3" s="1"/>
  <c r="L83" i="3" a="1"/>
  <c r="L83" i="3" s="1"/>
  <c r="C84" i="3" a="1"/>
  <c r="C84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I84" i="3" a="1"/>
  <c r="I84" i="3" s="1"/>
  <c r="J84" i="3" a="1"/>
  <c r="J84" i="3" s="1"/>
  <c r="K84" i="3" a="1"/>
  <c r="K84" i="3" s="1"/>
  <c r="L84" i="3" a="1"/>
  <c r="L84" i="3" s="1"/>
  <c r="C85" i="3" a="1"/>
  <c r="C85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I85" i="3" a="1"/>
  <c r="I85" i="3" s="1"/>
  <c r="J85" i="3" a="1"/>
  <c r="J85" i="3" s="1"/>
  <c r="K85" i="3" a="1"/>
  <c r="K85" i="3" s="1"/>
  <c r="L85" i="3" a="1"/>
  <c r="L85" i="3" s="1"/>
  <c r="C86" i="3" a="1"/>
  <c r="C86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I86" i="3" a="1"/>
  <c r="I86" i="3" s="1"/>
  <c r="J86" i="3" a="1"/>
  <c r="J86" i="3" s="1"/>
  <c r="K86" i="3" a="1"/>
  <c r="K86" i="3" s="1"/>
  <c r="L86" i="3" a="1"/>
  <c r="L86" i="3" s="1"/>
  <c r="C87" i="3" a="1"/>
  <c r="C87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I87" i="3" a="1"/>
  <c r="I87" i="3" s="1"/>
  <c r="J87" i="3" a="1"/>
  <c r="J87" i="3" s="1"/>
  <c r="K87" i="3" a="1"/>
  <c r="K87" i="3" s="1"/>
  <c r="L87" i="3" a="1"/>
  <c r="L87" i="3" s="1"/>
  <c r="C88" i="3" a="1"/>
  <c r="C88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I88" i="3" a="1"/>
  <c r="I88" i="3" s="1"/>
  <c r="J88" i="3" a="1"/>
  <c r="J88" i="3" s="1"/>
  <c r="K88" i="3" a="1"/>
  <c r="K88" i="3" s="1"/>
  <c r="L88" i="3" a="1"/>
  <c r="L88" i="3" s="1"/>
  <c r="C89" i="3" a="1"/>
  <c r="C89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I89" i="3" a="1"/>
  <c r="I89" i="3" s="1"/>
  <c r="J89" i="3" a="1"/>
  <c r="J89" i="3" s="1"/>
  <c r="K89" i="3" a="1"/>
  <c r="K89" i="3" s="1"/>
  <c r="L89" i="3" a="1"/>
  <c r="L89" i="3" s="1"/>
  <c r="C90" i="3" a="1"/>
  <c r="C90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I90" i="3" a="1"/>
  <c r="I90" i="3" s="1"/>
  <c r="J90" i="3" a="1"/>
  <c r="J90" i="3" s="1"/>
  <c r="K90" i="3" a="1"/>
  <c r="K90" i="3" s="1"/>
  <c r="L90" i="3" a="1"/>
  <c r="L90" i="3" s="1"/>
  <c r="C91" i="3" a="1"/>
  <c r="C91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I91" i="3" a="1"/>
  <c r="I91" i="3" s="1"/>
  <c r="J91" i="3" a="1"/>
  <c r="J91" i="3" s="1"/>
  <c r="K91" i="3" a="1"/>
  <c r="K91" i="3" s="1"/>
  <c r="L91" i="3" a="1"/>
  <c r="L91" i="3" s="1"/>
  <c r="C92" i="3" a="1"/>
  <c r="C92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I92" i="3" a="1"/>
  <c r="I92" i="3" s="1"/>
  <c r="J92" i="3" a="1"/>
  <c r="J92" i="3" s="1"/>
  <c r="K92" i="3" a="1"/>
  <c r="K92" i="3" s="1"/>
  <c r="L92" i="3" a="1"/>
  <c r="L92" i="3" s="1"/>
  <c r="C93" i="3" a="1"/>
  <c r="C93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I93" i="3" a="1"/>
  <c r="I93" i="3" s="1"/>
  <c r="J93" i="3" a="1"/>
  <c r="J93" i="3" s="1"/>
  <c r="K93" i="3" a="1"/>
  <c r="K93" i="3" s="1"/>
  <c r="L93" i="3" a="1"/>
  <c r="L93" i="3" s="1"/>
  <c r="C94" i="3" a="1"/>
  <c r="C94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I94" i="3" a="1"/>
  <c r="I94" i="3" s="1"/>
  <c r="J94" i="3" a="1"/>
  <c r="J94" i="3" s="1"/>
  <c r="K94" i="3" a="1"/>
  <c r="K94" i="3" s="1"/>
  <c r="L94" i="3" a="1"/>
  <c r="L94" i="3" s="1"/>
  <c r="C95" i="3" a="1"/>
  <c r="C95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I95" i="3" a="1"/>
  <c r="I95" i="3" s="1"/>
  <c r="J95" i="3" a="1"/>
  <c r="J95" i="3" s="1"/>
  <c r="K95" i="3" a="1"/>
  <c r="K95" i="3" s="1"/>
  <c r="L95" i="3" a="1"/>
  <c r="L95" i="3" s="1"/>
  <c r="C96" i="3" a="1"/>
  <c r="C96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I96" i="3" a="1"/>
  <c r="I96" i="3" s="1"/>
  <c r="J96" i="3" a="1"/>
  <c r="J96" i="3" s="1"/>
  <c r="K96" i="3" a="1"/>
  <c r="K96" i="3" s="1"/>
  <c r="L96" i="3" a="1"/>
  <c r="L96" i="3" s="1"/>
  <c r="C97" i="3" a="1"/>
  <c r="C97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I97" i="3" a="1"/>
  <c r="I97" i="3" s="1"/>
  <c r="J97" i="3" a="1"/>
  <c r="J97" i="3" s="1"/>
  <c r="K97" i="3" a="1"/>
  <c r="K97" i="3" s="1"/>
  <c r="L97" i="3" a="1"/>
  <c r="L97" i="3" s="1"/>
  <c r="C98" i="3" a="1"/>
  <c r="C98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I98" i="3" a="1"/>
  <c r="I98" i="3" s="1"/>
  <c r="J98" i="3" a="1"/>
  <c r="J98" i="3" s="1"/>
  <c r="K98" i="3" a="1"/>
  <c r="K98" i="3" s="1"/>
  <c r="L98" i="3" a="1"/>
  <c r="L98" i="3" s="1"/>
  <c r="C99" i="3" a="1"/>
  <c r="C99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I99" i="3" a="1"/>
  <c r="I99" i="3" s="1"/>
  <c r="J99" i="3" a="1"/>
  <c r="J99" i="3" s="1"/>
  <c r="K99" i="3" a="1"/>
  <c r="K99" i="3" s="1"/>
  <c r="L99" i="3" a="1"/>
  <c r="L99" i="3" s="1"/>
  <c r="C100" i="3" a="1"/>
  <c r="C100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I100" i="3" a="1"/>
  <c r="I100" i="3" s="1"/>
  <c r="J100" i="3" a="1"/>
  <c r="J100" i="3" s="1"/>
  <c r="K100" i="3" a="1"/>
  <c r="K100" i="3" s="1"/>
  <c r="L100" i="3" a="1"/>
  <c r="L100" i="3" s="1"/>
  <c r="C101" i="3" a="1"/>
  <c r="C101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I101" i="3" a="1"/>
  <c r="I101" i="3" s="1"/>
  <c r="J101" i="3" a="1"/>
  <c r="J101" i="3" s="1"/>
  <c r="K101" i="3" a="1"/>
  <c r="K101" i="3" s="1"/>
  <c r="L101" i="3" a="1"/>
  <c r="L101" i="3" s="1"/>
  <c r="C102" i="3" a="1"/>
  <c r="C102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I102" i="3" a="1"/>
  <c r="I102" i="3" s="1"/>
  <c r="J102" i="3" a="1"/>
  <c r="J102" i="3" s="1"/>
  <c r="K102" i="3" a="1"/>
  <c r="K102" i="3" s="1"/>
  <c r="L102" i="3" a="1"/>
  <c r="L102" i="3" s="1"/>
  <c r="C103" i="3" a="1"/>
  <c r="C103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I103" i="3" a="1"/>
  <c r="I103" i="3" s="1"/>
  <c r="J103" i="3" a="1"/>
  <c r="J103" i="3" s="1"/>
  <c r="K103" i="3" a="1"/>
  <c r="K103" i="3" s="1"/>
  <c r="L103" i="3" a="1"/>
  <c r="L103" i="3" s="1"/>
  <c r="C104" i="3" a="1"/>
  <c r="C104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I104" i="3" a="1"/>
  <c r="I104" i="3" s="1"/>
  <c r="J104" i="3" a="1"/>
  <c r="J104" i="3" s="1"/>
  <c r="K104" i="3" a="1"/>
  <c r="K104" i="3" s="1"/>
  <c r="L104" i="3" a="1"/>
  <c r="L104" i="3" s="1"/>
  <c r="C105" i="3" a="1"/>
  <c r="C105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I105" i="3" a="1"/>
  <c r="I105" i="3" s="1"/>
  <c r="J105" i="3" a="1"/>
  <c r="J105" i="3" s="1"/>
  <c r="K105" i="3" a="1"/>
  <c r="K105" i="3" s="1"/>
  <c r="L105" i="3" a="1"/>
  <c r="L105" i="3" s="1"/>
  <c r="C106" i="3" a="1"/>
  <c r="C106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I106" i="3" a="1"/>
  <c r="I106" i="3" s="1"/>
  <c r="J106" i="3" a="1"/>
  <c r="J106" i="3" s="1"/>
  <c r="K106" i="3" a="1"/>
  <c r="K106" i="3" s="1"/>
  <c r="L106" i="3" a="1"/>
  <c r="L106" i="3" s="1"/>
  <c r="C107" i="3" a="1"/>
  <c r="C107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I107" i="3" a="1"/>
  <c r="I107" i="3" s="1"/>
  <c r="J107" i="3" a="1"/>
  <c r="J107" i="3" s="1"/>
  <c r="K107" i="3" a="1"/>
  <c r="K107" i="3" s="1"/>
  <c r="L107" i="3" a="1"/>
  <c r="L107" i="3" s="1"/>
  <c r="C108" i="3" a="1"/>
  <c r="C108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I108" i="3" a="1"/>
  <c r="I108" i="3" s="1"/>
  <c r="J108" i="3" a="1"/>
  <c r="J108" i="3" s="1"/>
  <c r="K108" i="3" a="1"/>
  <c r="K108" i="3" s="1"/>
  <c r="L108" i="3" a="1"/>
  <c r="L108" i="3" s="1"/>
  <c r="C109" i="3" a="1"/>
  <c r="C109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I109" i="3" a="1"/>
  <c r="I109" i="3" s="1"/>
  <c r="J109" i="3" a="1"/>
  <c r="J109" i="3" s="1"/>
  <c r="K109" i="3" a="1"/>
  <c r="K109" i="3" s="1"/>
  <c r="L109" i="3" a="1"/>
  <c r="L109" i="3" s="1"/>
  <c r="C110" i="3" a="1"/>
  <c r="C110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I110" i="3" a="1"/>
  <c r="I110" i="3" s="1"/>
  <c r="J110" i="3" a="1"/>
  <c r="J110" i="3" s="1"/>
  <c r="K110" i="3" a="1"/>
  <c r="K110" i="3" s="1"/>
  <c r="L110" i="3" a="1"/>
  <c r="L110" i="3" s="1"/>
  <c r="C111" i="3" a="1"/>
  <c r="C111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I111" i="3" a="1"/>
  <c r="I111" i="3" s="1"/>
  <c r="J111" i="3" a="1"/>
  <c r="J111" i="3" s="1"/>
  <c r="K111" i="3" a="1"/>
  <c r="K111" i="3" s="1"/>
  <c r="L111" i="3" a="1"/>
  <c r="L111" i="3" s="1"/>
  <c r="C112" i="3" a="1"/>
  <c r="C112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I112" i="3" a="1"/>
  <c r="I112" i="3" s="1"/>
  <c r="J112" i="3" a="1"/>
  <c r="J112" i="3" s="1"/>
  <c r="K112" i="3" a="1"/>
  <c r="K112" i="3" s="1"/>
  <c r="L112" i="3" a="1"/>
  <c r="L112" i="3" s="1"/>
  <c r="C113" i="3" a="1"/>
  <c r="C113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I113" i="3" a="1"/>
  <c r="I113" i="3" s="1"/>
  <c r="J113" i="3" a="1"/>
  <c r="J113" i="3" s="1"/>
  <c r="K113" i="3" a="1"/>
  <c r="K113" i="3" s="1"/>
  <c r="L113" i="3" a="1"/>
  <c r="L113" i="3" s="1"/>
  <c r="C114" i="3" a="1"/>
  <c r="C114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I114" i="3" a="1"/>
  <c r="I114" i="3" s="1"/>
  <c r="J114" i="3" a="1"/>
  <c r="J114" i="3" s="1"/>
  <c r="K114" i="3" a="1"/>
  <c r="K114" i="3" s="1"/>
  <c r="L114" i="3" a="1"/>
  <c r="L114" i="3" s="1"/>
  <c r="C115" i="3" a="1"/>
  <c r="C115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I115" i="3" a="1"/>
  <c r="I115" i="3" s="1"/>
  <c r="J115" i="3" a="1"/>
  <c r="J115" i="3" s="1"/>
  <c r="K115" i="3" a="1"/>
  <c r="K115" i="3" s="1"/>
  <c r="L115" i="3" a="1"/>
  <c r="L115" i="3" s="1"/>
  <c r="C116" i="3" a="1"/>
  <c r="C116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I116" i="3" a="1"/>
  <c r="I116" i="3" s="1"/>
  <c r="J116" i="3" a="1"/>
  <c r="J116" i="3" s="1"/>
  <c r="K116" i="3" a="1"/>
  <c r="K116" i="3" s="1"/>
  <c r="L116" i="3" a="1"/>
  <c r="L116" i="3" s="1"/>
  <c r="C117" i="3" a="1"/>
  <c r="C117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I117" i="3" a="1"/>
  <c r="I117" i="3" s="1"/>
  <c r="J117" i="3" a="1"/>
  <c r="J117" i="3" s="1"/>
  <c r="K117" i="3" a="1"/>
  <c r="K117" i="3" s="1"/>
  <c r="L117" i="3" a="1"/>
  <c r="L117" i="3" s="1"/>
  <c r="C118" i="3" a="1"/>
  <c r="C118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I118" i="3" a="1"/>
  <c r="I118" i="3" s="1"/>
  <c r="J118" i="3" a="1"/>
  <c r="J118" i="3" s="1"/>
  <c r="K118" i="3" a="1"/>
  <c r="K118" i="3" s="1"/>
  <c r="L118" i="3" a="1"/>
  <c r="L118" i="3" s="1"/>
  <c r="C119" i="3" a="1"/>
  <c r="C119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I119" i="3" a="1"/>
  <c r="I119" i="3" s="1"/>
  <c r="J119" i="3" a="1"/>
  <c r="J119" i="3" s="1"/>
  <c r="K119" i="3" a="1"/>
  <c r="K119" i="3" s="1"/>
  <c r="L119" i="3" a="1"/>
  <c r="L119" i="3" s="1"/>
  <c r="C120" i="3" a="1"/>
  <c r="C120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I120" i="3" a="1"/>
  <c r="I120" i="3" s="1"/>
  <c r="J120" i="3" a="1"/>
  <c r="J120" i="3" s="1"/>
  <c r="K120" i="3" a="1"/>
  <c r="K120" i="3" s="1"/>
  <c r="L120" i="3" a="1"/>
  <c r="L120" i="3" s="1"/>
  <c r="C121" i="3" a="1"/>
  <c r="C121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I121" i="3" a="1"/>
  <c r="I121" i="3" s="1"/>
  <c r="J121" i="3" a="1"/>
  <c r="J121" i="3" s="1"/>
  <c r="K121" i="3" a="1"/>
  <c r="K121" i="3" s="1"/>
  <c r="L121" i="3" a="1"/>
  <c r="L121" i="3" s="1"/>
  <c r="C122" i="3" a="1"/>
  <c r="C122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I122" i="3" a="1"/>
  <c r="I122" i="3" s="1"/>
  <c r="J122" i="3" a="1"/>
  <c r="J122" i="3" s="1"/>
  <c r="K122" i="3" a="1"/>
  <c r="K122" i="3" s="1"/>
  <c r="L122" i="3" a="1"/>
  <c r="L122" i="3" s="1"/>
  <c r="C123" i="3" a="1"/>
  <c r="C123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I123" i="3" a="1"/>
  <c r="I123" i="3" s="1"/>
  <c r="J123" i="3" a="1"/>
  <c r="J123" i="3" s="1"/>
  <c r="K123" i="3" a="1"/>
  <c r="K123" i="3" s="1"/>
  <c r="L123" i="3" a="1"/>
  <c r="L123" i="3" s="1"/>
  <c r="C124" i="3" a="1"/>
  <c r="C124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I124" i="3" a="1"/>
  <c r="I124" i="3" s="1"/>
  <c r="J124" i="3" a="1"/>
  <c r="J124" i="3" s="1"/>
  <c r="K124" i="3" a="1"/>
  <c r="K124" i="3" s="1"/>
  <c r="L124" i="3" a="1"/>
  <c r="L124" i="3" s="1"/>
  <c r="C125" i="3" a="1"/>
  <c r="C125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I125" i="3" a="1"/>
  <c r="I125" i="3" s="1"/>
  <c r="J125" i="3" a="1"/>
  <c r="J125" i="3" s="1"/>
  <c r="K125" i="3" a="1"/>
  <c r="K125" i="3" s="1"/>
  <c r="L125" i="3" a="1"/>
  <c r="L125" i="3" s="1"/>
  <c r="C126" i="3" a="1"/>
  <c r="C126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I126" i="3" a="1"/>
  <c r="I126" i="3" s="1"/>
  <c r="J126" i="3" a="1"/>
  <c r="J126" i="3" s="1"/>
  <c r="K126" i="3" a="1"/>
  <c r="K126" i="3" s="1"/>
  <c r="L126" i="3" a="1"/>
  <c r="L126" i="3" s="1"/>
  <c r="C127" i="3" a="1"/>
  <c r="C127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I127" i="3" a="1"/>
  <c r="I127" i="3" s="1"/>
  <c r="J127" i="3" a="1"/>
  <c r="J127" i="3" s="1"/>
  <c r="K127" i="3" a="1"/>
  <c r="K127" i="3" s="1"/>
  <c r="L127" i="3" a="1"/>
  <c r="L127" i="3" s="1"/>
  <c r="C128" i="3" a="1"/>
  <c r="C128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I128" i="3" a="1"/>
  <c r="I128" i="3" s="1"/>
  <c r="J128" i="3" a="1"/>
  <c r="J128" i="3" s="1"/>
  <c r="K128" i="3" a="1"/>
  <c r="K128" i="3" s="1"/>
  <c r="L128" i="3" a="1"/>
  <c r="L128" i="3" s="1"/>
  <c r="C129" i="3" a="1"/>
  <c r="C129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I129" i="3" a="1"/>
  <c r="I129" i="3" s="1"/>
  <c r="J129" i="3" a="1"/>
  <c r="J129" i="3" s="1"/>
  <c r="K129" i="3" a="1"/>
  <c r="K129" i="3" s="1"/>
  <c r="L129" i="3" a="1"/>
  <c r="L129" i="3" s="1"/>
  <c r="C130" i="3" a="1"/>
  <c r="C130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I130" i="3" a="1"/>
  <c r="I130" i="3" s="1"/>
  <c r="J130" i="3" a="1"/>
  <c r="J130" i="3" s="1"/>
  <c r="K130" i="3" a="1"/>
  <c r="K130" i="3" s="1"/>
  <c r="L130" i="3" a="1"/>
  <c r="L130" i="3" s="1"/>
  <c r="C131" i="3" a="1"/>
  <c r="C131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I131" i="3" a="1"/>
  <c r="I131" i="3" s="1"/>
  <c r="J131" i="3" a="1"/>
  <c r="J131" i="3" s="1"/>
  <c r="K131" i="3" a="1"/>
  <c r="K131" i="3" s="1"/>
  <c r="L131" i="3" a="1"/>
  <c r="L131" i="3" s="1"/>
  <c r="C132" i="3" a="1"/>
  <c r="C132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I132" i="3" a="1"/>
  <c r="I132" i="3" s="1"/>
  <c r="J132" i="3" a="1"/>
  <c r="J132" i="3" s="1"/>
  <c r="K132" i="3" a="1"/>
  <c r="K132" i="3" s="1"/>
  <c r="L132" i="3" a="1"/>
  <c r="L132" i="3" s="1"/>
  <c r="C133" i="3" a="1"/>
  <c r="C133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I133" i="3" a="1"/>
  <c r="I133" i="3" s="1"/>
  <c r="J133" i="3" a="1"/>
  <c r="J133" i="3" s="1"/>
  <c r="K133" i="3" a="1"/>
  <c r="K133" i="3" s="1"/>
  <c r="L133" i="3" a="1"/>
  <c r="L133" i="3" s="1"/>
  <c r="C134" i="3" a="1"/>
  <c r="C134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I134" i="3" a="1"/>
  <c r="I134" i="3" s="1"/>
  <c r="J134" i="3" a="1"/>
  <c r="J134" i="3" s="1"/>
  <c r="K134" i="3" a="1"/>
  <c r="K134" i="3" s="1"/>
  <c r="L134" i="3" a="1"/>
  <c r="L134" i="3" s="1"/>
  <c r="C135" i="3" a="1"/>
  <c r="C135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I135" i="3" a="1"/>
  <c r="I135" i="3" s="1"/>
  <c r="J135" i="3" a="1"/>
  <c r="J135" i="3" s="1"/>
  <c r="K135" i="3" a="1"/>
  <c r="K135" i="3" s="1"/>
  <c r="L135" i="3" a="1"/>
  <c r="L135" i="3" s="1"/>
  <c r="C136" i="3" a="1"/>
  <c r="C136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I136" i="3" a="1"/>
  <c r="I136" i="3" s="1"/>
  <c r="J136" i="3" a="1"/>
  <c r="J136" i="3" s="1"/>
  <c r="K136" i="3" a="1"/>
  <c r="K136" i="3" s="1"/>
  <c r="L136" i="3" a="1"/>
  <c r="L136" i="3" s="1"/>
  <c r="C137" i="3" a="1"/>
  <c r="C137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I137" i="3" a="1"/>
  <c r="I137" i="3" s="1"/>
  <c r="J137" i="3" a="1"/>
  <c r="J137" i="3" s="1"/>
  <c r="K137" i="3" a="1"/>
  <c r="K137" i="3" s="1"/>
  <c r="L137" i="3" a="1"/>
  <c r="L137" i="3" s="1"/>
  <c r="C138" i="3" a="1"/>
  <c r="C138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I138" i="3" a="1"/>
  <c r="I138" i="3" s="1"/>
  <c r="J138" i="3" a="1"/>
  <c r="J138" i="3" s="1"/>
  <c r="K138" i="3" a="1"/>
  <c r="K138" i="3" s="1"/>
  <c r="L138" i="3" a="1"/>
  <c r="L138" i="3" s="1"/>
  <c r="C139" i="3" a="1"/>
  <c r="C139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I139" i="3" a="1"/>
  <c r="I139" i="3" s="1"/>
  <c r="J139" i="3" a="1"/>
  <c r="J139" i="3" s="1"/>
  <c r="K139" i="3" a="1"/>
  <c r="K139" i="3" s="1"/>
  <c r="L139" i="3" a="1"/>
  <c r="L139" i="3" s="1"/>
  <c r="C140" i="3" a="1"/>
  <c r="C140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I140" i="3" a="1"/>
  <c r="I140" i="3" s="1"/>
  <c r="J140" i="3" a="1"/>
  <c r="J140" i="3" s="1"/>
  <c r="K140" i="3" a="1"/>
  <c r="K140" i="3" s="1"/>
  <c r="L140" i="3" a="1"/>
  <c r="L140" i="3" s="1"/>
  <c r="C141" i="3" a="1"/>
  <c r="C141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I141" i="3" a="1"/>
  <c r="I141" i="3" s="1"/>
  <c r="J141" i="3" a="1"/>
  <c r="J141" i="3" s="1"/>
  <c r="K141" i="3" a="1"/>
  <c r="K141" i="3" s="1"/>
  <c r="L141" i="3" a="1"/>
  <c r="L141" i="3" s="1"/>
  <c r="C142" i="3" a="1"/>
  <c r="C142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I142" i="3" a="1"/>
  <c r="I142" i="3" s="1"/>
  <c r="J142" i="3" a="1"/>
  <c r="J142" i="3" s="1"/>
  <c r="K142" i="3" a="1"/>
  <c r="K142" i="3" s="1"/>
  <c r="L142" i="3" a="1"/>
  <c r="L142" i="3" s="1"/>
  <c r="C143" i="3" a="1"/>
  <c r="C143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I143" i="3" a="1"/>
  <c r="I143" i="3" s="1"/>
  <c r="J143" i="3" a="1"/>
  <c r="J143" i="3" s="1"/>
  <c r="K143" i="3" a="1"/>
  <c r="K143" i="3" s="1"/>
  <c r="L143" i="3" a="1"/>
  <c r="L143" i="3" s="1"/>
  <c r="C144" i="3" a="1"/>
  <c r="C144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I144" i="3" a="1"/>
  <c r="I144" i="3" s="1"/>
  <c r="J144" i="3" a="1"/>
  <c r="J144" i="3" s="1"/>
  <c r="K144" i="3" a="1"/>
  <c r="K144" i="3" s="1"/>
  <c r="L144" i="3" a="1"/>
  <c r="L144" i="3" s="1"/>
  <c r="C145" i="3" a="1"/>
  <c r="C145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I145" i="3" a="1"/>
  <c r="I145" i="3" s="1"/>
  <c r="J145" i="3" a="1"/>
  <c r="J145" i="3" s="1"/>
  <c r="K145" i="3" a="1"/>
  <c r="K145" i="3" s="1"/>
  <c r="L145" i="3" a="1"/>
  <c r="L145" i="3" s="1"/>
  <c r="C146" i="3" a="1"/>
  <c r="C146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I146" i="3" a="1"/>
  <c r="I146" i="3" s="1"/>
  <c r="J146" i="3" a="1"/>
  <c r="J146" i="3" s="1"/>
  <c r="K146" i="3" a="1"/>
  <c r="K146" i="3" s="1"/>
  <c r="L146" i="3" a="1"/>
  <c r="L146" i="3" s="1"/>
  <c r="C147" i="3" a="1"/>
  <c r="C147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I147" i="3" a="1"/>
  <c r="I147" i="3" s="1"/>
  <c r="J147" i="3" a="1"/>
  <c r="J147" i="3" s="1"/>
  <c r="K147" i="3" a="1"/>
  <c r="K147" i="3" s="1"/>
  <c r="L147" i="3" a="1"/>
  <c r="L147" i="3" s="1"/>
  <c r="C148" i="3" a="1"/>
  <c r="C148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I148" i="3" a="1"/>
  <c r="I148" i="3" s="1"/>
  <c r="J148" i="3" a="1"/>
  <c r="J148" i="3" s="1"/>
  <c r="K148" i="3" a="1"/>
  <c r="K148" i="3" s="1"/>
  <c r="L148" i="3" a="1"/>
  <c r="L148" i="3" s="1"/>
  <c r="C149" i="3" a="1"/>
  <c r="C149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I149" i="3" a="1"/>
  <c r="I149" i="3" s="1"/>
  <c r="J149" i="3" a="1"/>
  <c r="J149" i="3" s="1"/>
  <c r="K149" i="3" a="1"/>
  <c r="K149" i="3" s="1"/>
  <c r="L149" i="3" a="1"/>
  <c r="L149" i="3" s="1"/>
  <c r="C150" i="3" a="1"/>
  <c r="C150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I150" i="3" a="1"/>
  <c r="I150" i="3" s="1"/>
  <c r="J150" i="3" a="1"/>
  <c r="J150" i="3" s="1"/>
  <c r="K150" i="3" a="1"/>
  <c r="K150" i="3" s="1"/>
  <c r="L150" i="3" a="1"/>
  <c r="L150" i="3" s="1"/>
  <c r="C151" i="3" a="1"/>
  <c r="C151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I151" i="3" a="1"/>
  <c r="I151" i="3" s="1"/>
  <c r="J151" i="3" a="1"/>
  <c r="J151" i="3" s="1"/>
  <c r="K151" i="3" a="1"/>
  <c r="K151" i="3" s="1"/>
  <c r="L151" i="3" a="1"/>
  <c r="L151" i="3" s="1"/>
  <c r="C152" i="3" a="1"/>
  <c r="C152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I152" i="3" a="1"/>
  <c r="I152" i="3" s="1"/>
  <c r="J152" i="3" a="1"/>
  <c r="J152" i="3" s="1"/>
  <c r="K152" i="3" a="1"/>
  <c r="K152" i="3" s="1"/>
  <c r="L152" i="3" a="1"/>
  <c r="L152" i="3" s="1"/>
  <c r="C153" i="3" a="1"/>
  <c r="C153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I153" i="3" a="1"/>
  <c r="I153" i="3" s="1"/>
  <c r="J153" i="3" a="1"/>
  <c r="J153" i="3" s="1"/>
  <c r="K153" i="3" a="1"/>
  <c r="K153" i="3" s="1"/>
  <c r="L153" i="3" a="1"/>
  <c r="L153" i="3" s="1"/>
  <c r="C154" i="3" a="1"/>
  <c r="C154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I154" i="3" a="1"/>
  <c r="I154" i="3" s="1"/>
  <c r="J154" i="3" a="1"/>
  <c r="J154" i="3" s="1"/>
  <c r="K154" i="3" a="1"/>
  <c r="K154" i="3" s="1"/>
  <c r="L154" i="3" a="1"/>
  <c r="L154" i="3" s="1"/>
  <c r="C155" i="3" a="1"/>
  <c r="C155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I155" i="3" a="1"/>
  <c r="I155" i="3" s="1"/>
  <c r="J155" i="3" a="1"/>
  <c r="J155" i="3" s="1"/>
  <c r="K155" i="3" a="1"/>
  <c r="K155" i="3" s="1"/>
  <c r="L155" i="3" a="1"/>
  <c r="L155" i="3" s="1"/>
  <c r="C156" i="3" a="1"/>
  <c r="C156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I156" i="3" a="1"/>
  <c r="I156" i="3" s="1"/>
  <c r="J156" i="3" a="1"/>
  <c r="J156" i="3" s="1"/>
  <c r="K156" i="3" a="1"/>
  <c r="K156" i="3" s="1"/>
  <c r="L156" i="3" a="1"/>
  <c r="L156" i="3" s="1"/>
  <c r="C157" i="3" a="1"/>
  <c r="C157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I157" i="3" a="1"/>
  <c r="I157" i="3" s="1"/>
  <c r="J157" i="3" a="1"/>
  <c r="J157" i="3" s="1"/>
  <c r="K157" i="3" a="1"/>
  <c r="K157" i="3" s="1"/>
  <c r="L157" i="3" a="1"/>
  <c r="L157" i="3" s="1"/>
  <c r="C158" i="3" a="1"/>
  <c r="C158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I158" i="3" a="1"/>
  <c r="I158" i="3" s="1"/>
  <c r="J158" i="3" a="1"/>
  <c r="J158" i="3" s="1"/>
  <c r="K158" i="3" a="1"/>
  <c r="K158" i="3" s="1"/>
  <c r="L158" i="3" a="1"/>
  <c r="L158" i="3" s="1"/>
  <c r="C159" i="3" a="1"/>
  <c r="C159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I159" i="3" a="1"/>
  <c r="I159" i="3" s="1"/>
  <c r="J159" i="3" a="1"/>
  <c r="J159" i="3" s="1"/>
  <c r="K159" i="3" a="1"/>
  <c r="K159" i="3" s="1"/>
  <c r="L159" i="3" a="1"/>
  <c r="L159" i="3" s="1"/>
  <c r="C160" i="3" a="1"/>
  <c r="C160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I160" i="3" a="1"/>
  <c r="I160" i="3" s="1"/>
  <c r="J160" i="3" a="1"/>
  <c r="J160" i="3" s="1"/>
  <c r="K160" i="3" a="1"/>
  <c r="K160" i="3" s="1"/>
  <c r="L160" i="3" a="1"/>
  <c r="L160" i="3" s="1"/>
  <c r="C161" i="3" a="1"/>
  <c r="C161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I161" i="3" a="1"/>
  <c r="I161" i="3" s="1"/>
  <c r="J161" i="3" a="1"/>
  <c r="J161" i="3" s="1"/>
  <c r="K161" i="3" a="1"/>
  <c r="K161" i="3" s="1"/>
  <c r="L161" i="3" a="1"/>
  <c r="L161" i="3" s="1"/>
  <c r="C162" i="3" a="1"/>
  <c r="C162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I162" i="3" a="1"/>
  <c r="I162" i="3" s="1"/>
  <c r="J162" i="3" a="1"/>
  <c r="J162" i="3" s="1"/>
  <c r="K162" i="3" a="1"/>
  <c r="K162" i="3" s="1"/>
  <c r="L162" i="3" a="1"/>
  <c r="L162" i="3" s="1"/>
  <c r="C163" i="3" a="1"/>
  <c r="C163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I163" i="3" a="1"/>
  <c r="I163" i="3" s="1"/>
  <c r="J163" i="3" a="1"/>
  <c r="J163" i="3" s="1"/>
  <c r="K163" i="3" a="1"/>
  <c r="K163" i="3" s="1"/>
  <c r="L163" i="3" a="1"/>
  <c r="L163" i="3" s="1"/>
  <c r="C164" i="3" a="1"/>
  <c r="C164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I164" i="3" a="1"/>
  <c r="I164" i="3" s="1"/>
  <c r="J164" i="3" a="1"/>
  <c r="J164" i="3" s="1"/>
  <c r="K164" i="3" a="1"/>
  <c r="K164" i="3" s="1"/>
  <c r="L164" i="3" a="1"/>
  <c r="L164" i="3" s="1"/>
  <c r="C165" i="3" a="1"/>
  <c r="C165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I165" i="3" a="1"/>
  <c r="I165" i="3" s="1"/>
  <c r="J165" i="3" a="1"/>
  <c r="J165" i="3" s="1"/>
  <c r="K165" i="3" a="1"/>
  <c r="K165" i="3" s="1"/>
  <c r="L165" i="3" a="1"/>
  <c r="L165" i="3" s="1"/>
  <c r="C166" i="3" a="1"/>
  <c r="C166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I166" i="3" a="1"/>
  <c r="I166" i="3" s="1"/>
  <c r="J166" i="3" a="1"/>
  <c r="J166" i="3" s="1"/>
  <c r="K166" i="3" a="1"/>
  <c r="K166" i="3" s="1"/>
  <c r="L166" i="3" a="1"/>
  <c r="L166" i="3" s="1"/>
  <c r="C167" i="3" a="1"/>
  <c r="C167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I167" i="3" a="1"/>
  <c r="I167" i="3" s="1"/>
  <c r="J167" i="3" a="1"/>
  <c r="J167" i="3" s="1"/>
  <c r="K167" i="3" a="1"/>
  <c r="K167" i="3" s="1"/>
  <c r="L167" i="3" a="1"/>
  <c r="L167" i="3" s="1"/>
  <c r="C168" i="3" a="1"/>
  <c r="C168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I168" i="3" a="1"/>
  <c r="I168" i="3" s="1"/>
  <c r="J168" i="3" a="1"/>
  <c r="J168" i="3" s="1"/>
  <c r="K168" i="3" a="1"/>
  <c r="K168" i="3" s="1"/>
  <c r="L168" i="3" a="1"/>
  <c r="L168" i="3" s="1"/>
  <c r="C169" i="3" a="1"/>
  <c r="C169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I169" i="3" a="1"/>
  <c r="I169" i="3" s="1"/>
  <c r="J169" i="3" a="1"/>
  <c r="J169" i="3" s="1"/>
  <c r="K169" i="3" a="1"/>
  <c r="K169" i="3" s="1"/>
  <c r="L169" i="3" a="1"/>
  <c r="L169" i="3" s="1"/>
  <c r="C170" i="3" a="1"/>
  <c r="C170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I170" i="3" a="1"/>
  <c r="I170" i="3" s="1"/>
  <c r="J170" i="3" a="1"/>
  <c r="J170" i="3" s="1"/>
  <c r="K170" i="3" a="1"/>
  <c r="K170" i="3" s="1"/>
  <c r="L170" i="3" a="1"/>
  <c r="L170" i="3" s="1"/>
  <c r="C171" i="3" a="1"/>
  <c r="C171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I171" i="3" a="1"/>
  <c r="I171" i="3" s="1"/>
  <c r="J171" i="3" a="1"/>
  <c r="J171" i="3" s="1"/>
  <c r="K171" i="3" a="1"/>
  <c r="K171" i="3" s="1"/>
  <c r="L171" i="3" a="1"/>
  <c r="L171" i="3" s="1"/>
  <c r="C172" i="3" a="1"/>
  <c r="C172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I172" i="3" a="1"/>
  <c r="I172" i="3" s="1"/>
  <c r="J172" i="3" a="1"/>
  <c r="J172" i="3" s="1"/>
  <c r="K172" i="3" a="1"/>
  <c r="K172" i="3" s="1"/>
  <c r="L172" i="3" a="1"/>
  <c r="L172" i="3" s="1"/>
  <c r="C173" i="3" a="1"/>
  <c r="C173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I173" i="3" a="1"/>
  <c r="I173" i="3" s="1"/>
  <c r="J173" i="3" a="1"/>
  <c r="J173" i="3" s="1"/>
  <c r="K173" i="3" a="1"/>
  <c r="K173" i="3" s="1"/>
  <c r="L173" i="3" a="1"/>
  <c r="L173" i="3" s="1"/>
  <c r="C174" i="3" a="1"/>
  <c r="C174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I174" i="3" a="1"/>
  <c r="I174" i="3" s="1"/>
  <c r="J174" i="3" a="1"/>
  <c r="J174" i="3" s="1"/>
  <c r="K174" i="3" a="1"/>
  <c r="K174" i="3" s="1"/>
  <c r="L174" i="3" a="1"/>
  <c r="L174" i="3" s="1"/>
  <c r="C175" i="3" a="1"/>
  <c r="C175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I175" i="3" a="1"/>
  <c r="I175" i="3" s="1"/>
  <c r="J175" i="3" a="1"/>
  <c r="J175" i="3" s="1"/>
  <c r="K175" i="3" a="1"/>
  <c r="K175" i="3" s="1"/>
  <c r="L175" i="3" a="1"/>
  <c r="L175" i="3" s="1"/>
  <c r="C176" i="3" a="1"/>
  <c r="C176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I176" i="3" a="1"/>
  <c r="I176" i="3" s="1"/>
  <c r="J176" i="3" a="1"/>
  <c r="J176" i="3" s="1"/>
  <c r="K176" i="3" a="1"/>
  <c r="K176" i="3" s="1"/>
  <c r="L176" i="3" a="1"/>
  <c r="L176" i="3" s="1"/>
  <c r="C177" i="3" a="1"/>
  <c r="C177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I177" i="3" a="1"/>
  <c r="I177" i="3" s="1"/>
  <c r="J177" i="3" a="1"/>
  <c r="J177" i="3" s="1"/>
  <c r="K177" i="3" a="1"/>
  <c r="K177" i="3" s="1"/>
  <c r="L177" i="3" a="1"/>
  <c r="L177" i="3" s="1"/>
  <c r="C178" i="3" a="1"/>
  <c r="C178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I178" i="3" a="1"/>
  <c r="I178" i="3" s="1"/>
  <c r="J178" i="3" a="1"/>
  <c r="J178" i="3" s="1"/>
  <c r="K178" i="3" a="1"/>
  <c r="K178" i="3" s="1"/>
  <c r="L178" i="3" a="1"/>
  <c r="L178" i="3" s="1"/>
  <c r="C179" i="3" a="1"/>
  <c r="C179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I179" i="3" a="1"/>
  <c r="I179" i="3" s="1"/>
  <c r="J179" i="3" a="1"/>
  <c r="J179" i="3" s="1"/>
  <c r="K179" i="3" a="1"/>
  <c r="K179" i="3" s="1"/>
  <c r="L179" i="3" a="1"/>
  <c r="L179" i="3" s="1"/>
  <c r="C180" i="3" a="1"/>
  <c r="C180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I180" i="3" a="1"/>
  <c r="I180" i="3" s="1"/>
  <c r="J180" i="3" a="1"/>
  <c r="J180" i="3" s="1"/>
  <c r="K180" i="3" a="1"/>
  <c r="K180" i="3" s="1"/>
  <c r="L180" i="3" a="1"/>
  <c r="L180" i="3" s="1"/>
  <c r="C181" i="3" a="1"/>
  <c r="C181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I181" i="3" a="1"/>
  <c r="I181" i="3" s="1"/>
  <c r="J181" i="3" a="1"/>
  <c r="J181" i="3" s="1"/>
  <c r="K181" i="3" a="1"/>
  <c r="K181" i="3" s="1"/>
  <c r="L181" i="3" a="1"/>
  <c r="L181" i="3" s="1"/>
  <c r="C182" i="3" a="1"/>
  <c r="C182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I182" i="3" a="1"/>
  <c r="I182" i="3" s="1"/>
  <c r="J182" i="3" a="1"/>
  <c r="J182" i="3" s="1"/>
  <c r="K182" i="3" a="1"/>
  <c r="K182" i="3" s="1"/>
  <c r="L182" i="3" a="1"/>
  <c r="L182" i="3" s="1"/>
  <c r="C183" i="3" a="1"/>
  <c r="C183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I183" i="3" a="1"/>
  <c r="I183" i="3" s="1"/>
  <c r="J183" i="3" a="1"/>
  <c r="J183" i="3" s="1"/>
  <c r="K183" i="3" a="1"/>
  <c r="K183" i="3" s="1"/>
  <c r="L183" i="3" a="1"/>
  <c r="L183" i="3" s="1"/>
  <c r="C184" i="3" a="1"/>
  <c r="C184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I184" i="3" a="1"/>
  <c r="I184" i="3" s="1"/>
  <c r="J184" i="3" a="1"/>
  <c r="J184" i="3" s="1"/>
  <c r="K184" i="3" a="1"/>
  <c r="K184" i="3" s="1"/>
  <c r="L184" i="3" a="1"/>
  <c r="L184" i="3" s="1"/>
  <c r="C185" i="3" a="1"/>
  <c r="C185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I185" i="3" a="1"/>
  <c r="I185" i="3" s="1"/>
  <c r="J185" i="3" a="1"/>
  <c r="J185" i="3" s="1"/>
  <c r="K185" i="3" a="1"/>
  <c r="K185" i="3" s="1"/>
  <c r="L185" i="3" a="1"/>
  <c r="L185" i="3" s="1"/>
  <c r="C186" i="3" a="1"/>
  <c r="C186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I186" i="3" a="1"/>
  <c r="I186" i="3" s="1"/>
  <c r="J186" i="3" a="1"/>
  <c r="J186" i="3" s="1"/>
  <c r="K186" i="3" a="1"/>
  <c r="K186" i="3" s="1"/>
  <c r="L186" i="3" a="1"/>
  <c r="L186" i="3" s="1"/>
  <c r="C187" i="3" a="1"/>
  <c r="C187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I187" i="3" a="1"/>
  <c r="I187" i="3" s="1"/>
  <c r="J187" i="3" a="1"/>
  <c r="J187" i="3" s="1"/>
  <c r="K187" i="3" a="1"/>
  <c r="K187" i="3" s="1"/>
  <c r="L187" i="3" a="1"/>
  <c r="L187" i="3" s="1"/>
  <c r="C188" i="3" a="1"/>
  <c r="C188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I188" i="3" a="1"/>
  <c r="I188" i="3" s="1"/>
  <c r="J188" i="3" a="1"/>
  <c r="J188" i="3" s="1"/>
  <c r="K188" i="3" a="1"/>
  <c r="K188" i="3" s="1"/>
  <c r="L188" i="3" a="1"/>
  <c r="L188" i="3" s="1"/>
  <c r="C189" i="3" a="1"/>
  <c r="C189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I189" i="3" a="1"/>
  <c r="I189" i="3" s="1"/>
  <c r="J189" i="3" a="1"/>
  <c r="J189" i="3" s="1"/>
  <c r="K189" i="3" a="1"/>
  <c r="K189" i="3" s="1"/>
  <c r="L189" i="3" a="1"/>
  <c r="L189" i="3" s="1"/>
  <c r="C190" i="3" a="1"/>
  <c r="C190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I190" i="3" a="1"/>
  <c r="I190" i="3" s="1"/>
  <c r="J190" i="3" a="1"/>
  <c r="J190" i="3" s="1"/>
  <c r="K190" i="3" a="1"/>
  <c r="K190" i="3" s="1"/>
  <c r="L190" i="3" a="1"/>
  <c r="L190" i="3" s="1"/>
  <c r="C191" i="3" a="1"/>
  <c r="C191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I191" i="3" a="1"/>
  <c r="I191" i="3" s="1"/>
  <c r="J191" i="3" a="1"/>
  <c r="J191" i="3" s="1"/>
  <c r="K191" i="3" a="1"/>
  <c r="K191" i="3" s="1"/>
  <c r="L191" i="3" a="1"/>
  <c r="L191" i="3" s="1"/>
  <c r="C192" i="3" a="1"/>
  <c r="C192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I192" i="3" a="1"/>
  <c r="I192" i="3" s="1"/>
  <c r="J192" i="3" a="1"/>
  <c r="J192" i="3" s="1"/>
  <c r="K192" i="3" a="1"/>
  <c r="K192" i="3" s="1"/>
  <c r="L192" i="3" a="1"/>
  <c r="L192" i="3" s="1"/>
  <c r="C193" i="3" a="1"/>
  <c r="C193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I193" i="3" a="1"/>
  <c r="I193" i="3" s="1"/>
  <c r="J193" i="3" a="1"/>
  <c r="J193" i="3" s="1"/>
  <c r="K193" i="3" a="1"/>
  <c r="K193" i="3" s="1"/>
  <c r="L193" i="3" a="1"/>
  <c r="L193" i="3" s="1"/>
  <c r="C194" i="3" a="1"/>
  <c r="C194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I194" i="3" a="1"/>
  <c r="I194" i="3" s="1"/>
  <c r="J194" i="3" a="1"/>
  <c r="J194" i="3" s="1"/>
  <c r="K194" i="3" a="1"/>
  <c r="K194" i="3" s="1"/>
  <c r="L194" i="3" a="1"/>
  <c r="L194" i="3" s="1"/>
  <c r="C195" i="3" a="1"/>
  <c r="C195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I195" i="3" a="1"/>
  <c r="I195" i="3" s="1"/>
  <c r="J195" i="3" a="1"/>
  <c r="J195" i="3" s="1"/>
  <c r="K195" i="3" a="1"/>
  <c r="K195" i="3" s="1"/>
  <c r="L195" i="3" a="1"/>
  <c r="L195" i="3" s="1"/>
  <c r="C196" i="3" a="1"/>
  <c r="C196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I196" i="3" a="1"/>
  <c r="I196" i="3" s="1"/>
  <c r="J196" i="3" a="1"/>
  <c r="J196" i="3" s="1"/>
  <c r="K196" i="3" a="1"/>
  <c r="K196" i="3" s="1"/>
  <c r="L196" i="3" a="1"/>
  <c r="L196" i="3" s="1"/>
  <c r="C197" i="3" a="1"/>
  <c r="C197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I197" i="3" a="1"/>
  <c r="I197" i="3" s="1"/>
  <c r="J197" i="3" a="1"/>
  <c r="J197" i="3" s="1"/>
  <c r="K197" i="3" a="1"/>
  <c r="K197" i="3" s="1"/>
  <c r="L197" i="3" a="1"/>
  <c r="L197" i="3" s="1"/>
  <c r="C198" i="3" a="1"/>
  <c r="C198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I198" i="3" a="1"/>
  <c r="I198" i="3" s="1"/>
  <c r="J198" i="3" a="1"/>
  <c r="J198" i="3" s="1"/>
  <c r="K198" i="3" a="1"/>
  <c r="K198" i="3" s="1"/>
  <c r="L198" i="3" a="1"/>
  <c r="L198" i="3" s="1"/>
  <c r="C199" i="3" a="1"/>
  <c r="C199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I199" i="3" a="1"/>
  <c r="I199" i="3" s="1"/>
  <c r="J199" i="3" a="1"/>
  <c r="J199" i="3" s="1"/>
  <c r="K199" i="3" a="1"/>
  <c r="K199" i="3" s="1"/>
  <c r="L199" i="3" a="1"/>
  <c r="L199" i="3" s="1"/>
  <c r="C200" i="3" a="1"/>
  <c r="C200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I200" i="3" a="1"/>
  <c r="I200" i="3" s="1"/>
  <c r="J200" i="3" a="1"/>
  <c r="J200" i="3" s="1"/>
  <c r="K200" i="3" a="1"/>
  <c r="K200" i="3" s="1"/>
  <c r="L200" i="3" a="1"/>
  <c r="L200" i="3" s="1"/>
  <c r="C201" i="3" a="1"/>
  <c r="C201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I201" i="3" a="1"/>
  <c r="I201" i="3" s="1"/>
  <c r="J201" i="3" a="1"/>
  <c r="J201" i="3" s="1"/>
  <c r="K201" i="3" a="1"/>
  <c r="K201" i="3" s="1"/>
  <c r="L201" i="3" a="1"/>
  <c r="L201" i="3" s="1"/>
  <c r="C202" i="3" a="1"/>
  <c r="C202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I202" i="3" a="1"/>
  <c r="I202" i="3" s="1"/>
  <c r="J202" i="3" a="1"/>
  <c r="J202" i="3" s="1"/>
  <c r="K202" i="3" a="1"/>
  <c r="K202" i="3" s="1"/>
  <c r="L202" i="3" a="1"/>
  <c r="L202" i="3" s="1"/>
  <c r="C203" i="3" a="1"/>
  <c r="C203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I203" i="3" a="1"/>
  <c r="I203" i="3" s="1"/>
  <c r="J203" i="3" a="1"/>
  <c r="J203" i="3" s="1"/>
  <c r="K203" i="3" a="1"/>
  <c r="K203" i="3" s="1"/>
  <c r="L203" i="3" a="1"/>
  <c r="L203" i="3" s="1"/>
  <c r="C204" i="3" a="1"/>
  <c r="C204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I204" i="3" a="1"/>
  <c r="I204" i="3" s="1"/>
  <c r="J204" i="3" a="1"/>
  <c r="J204" i="3" s="1"/>
  <c r="K204" i="3" a="1"/>
  <c r="K204" i="3" s="1"/>
  <c r="L204" i="3" a="1"/>
  <c r="L204" i="3" s="1"/>
  <c r="C205" i="3" a="1"/>
  <c r="C205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I205" i="3" a="1"/>
  <c r="I205" i="3" s="1"/>
  <c r="J205" i="3" a="1"/>
  <c r="J205" i="3" s="1"/>
  <c r="K205" i="3" a="1"/>
  <c r="K205" i="3" s="1"/>
  <c r="L205" i="3" a="1"/>
  <c r="L205" i="3" s="1"/>
  <c r="C206" i="3" a="1"/>
  <c r="C206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I206" i="3" a="1"/>
  <c r="I206" i="3" s="1"/>
  <c r="J206" i="3" a="1"/>
  <c r="J206" i="3" s="1"/>
  <c r="K206" i="3" a="1"/>
  <c r="K206" i="3" s="1"/>
  <c r="L206" i="3" a="1"/>
  <c r="L206" i="3" s="1"/>
  <c r="C207" i="3" a="1"/>
  <c r="C207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I207" i="3" a="1"/>
  <c r="I207" i="3" s="1"/>
  <c r="J207" i="3" a="1"/>
  <c r="J207" i="3" s="1"/>
  <c r="K207" i="3" a="1"/>
  <c r="K207" i="3" s="1"/>
  <c r="L207" i="3" a="1"/>
  <c r="L207" i="3" s="1"/>
  <c r="C208" i="3" a="1"/>
  <c r="C208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I208" i="3" a="1"/>
  <c r="I208" i="3" s="1"/>
  <c r="J208" i="3" a="1"/>
  <c r="J208" i="3" s="1"/>
  <c r="K208" i="3" a="1"/>
  <c r="K208" i="3" s="1"/>
  <c r="L208" i="3" a="1"/>
  <c r="L208" i="3" s="1"/>
  <c r="C209" i="3" a="1"/>
  <c r="C209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I209" i="3" a="1"/>
  <c r="I209" i="3" s="1"/>
  <c r="J209" i="3" a="1"/>
  <c r="J209" i="3" s="1"/>
  <c r="K209" i="3" a="1"/>
  <c r="K209" i="3" s="1"/>
  <c r="L209" i="3" a="1"/>
  <c r="L209" i="3" s="1"/>
  <c r="C210" i="3" a="1"/>
  <c r="C210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I210" i="3" a="1"/>
  <c r="I210" i="3" s="1"/>
  <c r="J210" i="3" a="1"/>
  <c r="J210" i="3" s="1"/>
  <c r="K210" i="3" a="1"/>
  <c r="K210" i="3" s="1"/>
  <c r="L210" i="3" a="1"/>
  <c r="L210" i="3" s="1"/>
  <c r="C211" i="3" a="1"/>
  <c r="C211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I211" i="3" a="1"/>
  <c r="I211" i="3" s="1"/>
  <c r="J211" i="3" a="1"/>
  <c r="J211" i="3" s="1"/>
  <c r="K211" i="3" a="1"/>
  <c r="K211" i="3" s="1"/>
  <c r="L211" i="3" a="1"/>
  <c r="L211" i="3" s="1"/>
  <c r="C212" i="3" a="1"/>
  <c r="C212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I212" i="3" a="1"/>
  <c r="I212" i="3" s="1"/>
  <c r="J212" i="3" a="1"/>
  <c r="J212" i="3" s="1"/>
  <c r="K212" i="3" a="1"/>
  <c r="K212" i="3" s="1"/>
  <c r="L212" i="3" a="1"/>
  <c r="L212" i="3" s="1"/>
  <c r="C213" i="3" a="1"/>
  <c r="C213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I213" i="3" a="1"/>
  <c r="I213" i="3" s="1"/>
  <c r="J213" i="3" a="1"/>
  <c r="J213" i="3" s="1"/>
  <c r="K213" i="3" a="1"/>
  <c r="K213" i="3" s="1"/>
  <c r="L213" i="3" a="1"/>
  <c r="L213" i="3" s="1"/>
  <c r="C214" i="3" a="1"/>
  <c r="C214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I214" i="3" a="1"/>
  <c r="I214" i="3" s="1"/>
  <c r="J214" i="3" a="1"/>
  <c r="J214" i="3" s="1"/>
  <c r="K214" i="3" a="1"/>
  <c r="K214" i="3" s="1"/>
  <c r="L214" i="3" a="1"/>
  <c r="L214" i="3" s="1"/>
  <c r="C215" i="3" a="1"/>
  <c r="C215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I215" i="3" a="1"/>
  <c r="I215" i="3" s="1"/>
  <c r="J215" i="3" a="1"/>
  <c r="J215" i="3" s="1"/>
  <c r="K215" i="3" a="1"/>
  <c r="K215" i="3" s="1"/>
  <c r="L215" i="3" a="1"/>
  <c r="L215" i="3" s="1"/>
  <c r="C216" i="3" a="1"/>
  <c r="C216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I216" i="3" a="1"/>
  <c r="I216" i="3" s="1"/>
  <c r="J216" i="3" a="1"/>
  <c r="J216" i="3" s="1"/>
  <c r="K216" i="3" a="1"/>
  <c r="K216" i="3" s="1"/>
  <c r="L216" i="3" a="1"/>
  <c r="L216" i="3" s="1"/>
  <c r="C217" i="3" a="1"/>
  <c r="C217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I217" i="3" a="1"/>
  <c r="I217" i="3" s="1"/>
  <c r="J217" i="3" a="1"/>
  <c r="J217" i="3" s="1"/>
  <c r="K217" i="3" a="1"/>
  <c r="K217" i="3" s="1"/>
  <c r="L217" i="3" a="1"/>
  <c r="L217" i="3" s="1"/>
  <c r="C218" i="3" a="1"/>
  <c r="C218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I218" i="3" a="1"/>
  <c r="I218" i="3" s="1"/>
  <c r="J218" i="3" a="1"/>
  <c r="J218" i="3" s="1"/>
  <c r="K218" i="3" a="1"/>
  <c r="K218" i="3" s="1"/>
  <c r="L218" i="3" a="1"/>
  <c r="L218" i="3" s="1"/>
  <c r="C219" i="3" a="1"/>
  <c r="C219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I219" i="3" a="1"/>
  <c r="I219" i="3" s="1"/>
  <c r="J219" i="3" a="1"/>
  <c r="J219" i="3" s="1"/>
  <c r="K219" i="3" a="1"/>
  <c r="K219" i="3" s="1"/>
  <c r="L219" i="3" a="1"/>
  <c r="L219" i="3" s="1"/>
  <c r="C220" i="3" a="1"/>
  <c r="C220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I220" i="3" a="1"/>
  <c r="I220" i="3" s="1"/>
  <c r="J220" i="3" a="1"/>
  <c r="J220" i="3" s="1"/>
  <c r="K220" i="3" a="1"/>
  <c r="K220" i="3" s="1"/>
  <c r="L220" i="3" a="1"/>
  <c r="L220" i="3" s="1"/>
  <c r="C221" i="3" a="1"/>
  <c r="C221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I221" i="3" a="1"/>
  <c r="I221" i="3" s="1"/>
  <c r="J221" i="3" a="1"/>
  <c r="J221" i="3" s="1"/>
  <c r="K221" i="3" a="1"/>
  <c r="K221" i="3" s="1"/>
  <c r="L221" i="3" a="1"/>
  <c r="L221" i="3" s="1"/>
  <c r="C222" i="3" a="1"/>
  <c r="C222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I222" i="3" a="1"/>
  <c r="I222" i="3" s="1"/>
  <c r="J222" i="3" a="1"/>
  <c r="J222" i="3" s="1"/>
  <c r="K222" i="3" a="1"/>
  <c r="K222" i="3" s="1"/>
  <c r="L222" i="3" a="1"/>
  <c r="L222" i="3" s="1"/>
  <c r="C223" i="3" a="1"/>
  <c r="C223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I223" i="3" a="1"/>
  <c r="I223" i="3" s="1"/>
  <c r="J223" i="3" a="1"/>
  <c r="J223" i="3" s="1"/>
  <c r="K223" i="3" a="1"/>
  <c r="K223" i="3" s="1"/>
  <c r="L223" i="3" a="1"/>
  <c r="L223" i="3" s="1"/>
  <c r="C224" i="3" a="1"/>
  <c r="C224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I224" i="3" a="1"/>
  <c r="I224" i="3" s="1"/>
  <c r="J224" i="3" a="1"/>
  <c r="J224" i="3" s="1"/>
  <c r="K224" i="3" a="1"/>
  <c r="K224" i="3" s="1"/>
  <c r="L224" i="3" a="1"/>
  <c r="L224" i="3" s="1"/>
  <c r="C225" i="3" a="1"/>
  <c r="C225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I225" i="3" a="1"/>
  <c r="I225" i="3" s="1"/>
  <c r="J225" i="3" a="1"/>
  <c r="J225" i="3" s="1"/>
  <c r="K225" i="3" a="1"/>
  <c r="K225" i="3" s="1"/>
  <c r="L225" i="3" a="1"/>
  <c r="L225" i="3" s="1"/>
  <c r="C226" i="3" a="1"/>
  <c r="C226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I226" i="3" a="1"/>
  <c r="I226" i="3" s="1"/>
  <c r="J226" i="3" a="1"/>
  <c r="J226" i="3" s="1"/>
  <c r="K226" i="3" a="1"/>
  <c r="K226" i="3" s="1"/>
  <c r="L226" i="3" a="1"/>
  <c r="L226" i="3" s="1"/>
  <c r="C227" i="3" a="1"/>
  <c r="C227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I227" i="3" a="1"/>
  <c r="I227" i="3" s="1"/>
  <c r="J227" i="3" a="1"/>
  <c r="J227" i="3" s="1"/>
  <c r="K227" i="3" a="1"/>
  <c r="K227" i="3" s="1"/>
  <c r="L227" i="3" a="1"/>
  <c r="L227" i="3" s="1"/>
  <c r="C228" i="3" a="1"/>
  <c r="C228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I228" i="3" a="1"/>
  <c r="I228" i="3" s="1"/>
  <c r="J228" i="3" a="1"/>
  <c r="J228" i="3" s="1"/>
  <c r="K228" i="3" a="1"/>
  <c r="K228" i="3" s="1"/>
  <c r="L228" i="3" a="1"/>
  <c r="L228" i="3" s="1"/>
  <c r="C229" i="3" a="1"/>
  <c r="C229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I229" i="3" a="1"/>
  <c r="I229" i="3" s="1"/>
  <c r="J229" i="3" a="1"/>
  <c r="J229" i="3" s="1"/>
  <c r="K229" i="3" a="1"/>
  <c r="K229" i="3" s="1"/>
  <c r="L229" i="3" a="1"/>
  <c r="L229" i="3" s="1"/>
  <c r="C230" i="3" a="1"/>
  <c r="C230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I230" i="3" a="1"/>
  <c r="I230" i="3" s="1"/>
  <c r="J230" i="3" a="1"/>
  <c r="J230" i="3" s="1"/>
  <c r="K230" i="3" a="1"/>
  <c r="K230" i="3" s="1"/>
  <c r="L230" i="3" a="1"/>
  <c r="L230" i="3" s="1"/>
  <c r="C231" i="3" a="1"/>
  <c r="C231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I231" i="3" a="1"/>
  <c r="I231" i="3" s="1"/>
  <c r="J231" i="3" a="1"/>
  <c r="J231" i="3" s="1"/>
  <c r="K231" i="3" a="1"/>
  <c r="K231" i="3" s="1"/>
  <c r="L231" i="3" a="1"/>
  <c r="L231" i="3" s="1"/>
  <c r="C232" i="3" a="1"/>
  <c r="C232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I232" i="3" a="1"/>
  <c r="I232" i="3" s="1"/>
  <c r="J232" i="3" a="1"/>
  <c r="J232" i="3" s="1"/>
  <c r="K232" i="3" a="1"/>
  <c r="K232" i="3" s="1"/>
  <c r="L232" i="3" a="1"/>
  <c r="L232" i="3" s="1"/>
  <c r="C233" i="3" a="1"/>
  <c r="C233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I233" i="3" a="1"/>
  <c r="I233" i="3" s="1"/>
  <c r="J233" i="3" a="1"/>
  <c r="J233" i="3" s="1"/>
  <c r="K233" i="3" a="1"/>
  <c r="K233" i="3" s="1"/>
  <c r="L233" i="3" a="1"/>
  <c r="L233" i="3" s="1"/>
  <c r="C234" i="3" a="1"/>
  <c r="C234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I234" i="3" a="1"/>
  <c r="I234" i="3" s="1"/>
  <c r="J234" i="3" a="1"/>
  <c r="J234" i="3" s="1"/>
  <c r="K234" i="3" a="1"/>
  <c r="K234" i="3" s="1"/>
  <c r="L234" i="3" a="1"/>
  <c r="L234" i="3" s="1"/>
  <c r="C235" i="3" a="1"/>
  <c r="C235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I235" i="3" a="1"/>
  <c r="I235" i="3" s="1"/>
  <c r="J235" i="3" a="1"/>
  <c r="J235" i="3" s="1"/>
  <c r="K235" i="3" a="1"/>
  <c r="K235" i="3" s="1"/>
  <c r="L235" i="3" a="1"/>
  <c r="L235" i="3" s="1"/>
  <c r="C236" i="3" a="1"/>
  <c r="C236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I236" i="3" a="1"/>
  <c r="I236" i="3" s="1"/>
  <c r="J236" i="3" a="1"/>
  <c r="J236" i="3" s="1"/>
  <c r="K236" i="3" a="1"/>
  <c r="K236" i="3" s="1"/>
  <c r="L236" i="3" a="1"/>
  <c r="L236" i="3" s="1"/>
  <c r="C237" i="3" a="1"/>
  <c r="C237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I237" i="3" a="1"/>
  <c r="I237" i="3" s="1"/>
  <c r="J237" i="3" a="1"/>
  <c r="J237" i="3" s="1"/>
  <c r="K237" i="3" a="1"/>
  <c r="K237" i="3" s="1"/>
  <c r="L237" i="3" a="1"/>
  <c r="L237" i="3" s="1"/>
  <c r="C238" i="3" a="1"/>
  <c r="C238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I238" i="3" a="1"/>
  <c r="I238" i="3" s="1"/>
  <c r="J238" i="3" a="1"/>
  <c r="J238" i="3" s="1"/>
  <c r="K238" i="3" a="1"/>
  <c r="K238" i="3" s="1"/>
  <c r="L238" i="3" a="1"/>
  <c r="L238" i="3" s="1"/>
  <c r="C239" i="3" a="1"/>
  <c r="C239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I239" i="3" a="1"/>
  <c r="I239" i="3" s="1"/>
  <c r="J239" i="3" a="1"/>
  <c r="J239" i="3" s="1"/>
  <c r="K239" i="3" a="1"/>
  <c r="K239" i="3" s="1"/>
  <c r="L239" i="3" a="1"/>
  <c r="L239" i="3" s="1"/>
  <c r="C240" i="3" a="1"/>
  <c r="C240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I240" i="3" a="1"/>
  <c r="I240" i="3" s="1"/>
  <c r="J240" i="3" a="1"/>
  <c r="J240" i="3" s="1"/>
  <c r="K240" i="3" a="1"/>
  <c r="K240" i="3" s="1"/>
  <c r="L240" i="3" a="1"/>
  <c r="L240" i="3" s="1"/>
  <c r="C241" i="3" a="1"/>
  <c r="C241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I241" i="3" a="1"/>
  <c r="I241" i="3" s="1"/>
  <c r="J241" i="3" a="1"/>
  <c r="J241" i="3" s="1"/>
  <c r="K241" i="3" a="1"/>
  <c r="K241" i="3" s="1"/>
  <c r="L241" i="3" a="1"/>
  <c r="L241" i="3" s="1"/>
  <c r="C242" i="3" a="1"/>
  <c r="C242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I242" i="3" a="1"/>
  <c r="I242" i="3" s="1"/>
  <c r="J242" i="3" a="1"/>
  <c r="J242" i="3" s="1"/>
  <c r="K242" i="3" a="1"/>
  <c r="K242" i="3" s="1"/>
  <c r="L242" i="3" a="1"/>
  <c r="L242" i="3" s="1"/>
  <c r="C243" i="3" a="1"/>
  <c r="C243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I243" i="3" a="1"/>
  <c r="I243" i="3" s="1"/>
  <c r="J243" i="3" a="1"/>
  <c r="J243" i="3" s="1"/>
  <c r="K243" i="3" a="1"/>
  <c r="K243" i="3" s="1"/>
  <c r="L243" i="3" a="1"/>
  <c r="L243" i="3" s="1"/>
  <c r="C244" i="3" a="1"/>
  <c r="C244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I244" i="3" a="1"/>
  <c r="I244" i="3" s="1"/>
  <c r="J244" i="3" a="1"/>
  <c r="J244" i="3" s="1"/>
  <c r="K244" i="3" a="1"/>
  <c r="K244" i="3" s="1"/>
  <c r="L244" i="3" a="1"/>
  <c r="L244" i="3" s="1"/>
  <c r="C245" i="3" a="1"/>
  <c r="C245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I245" i="3" a="1"/>
  <c r="I245" i="3" s="1"/>
  <c r="J245" i="3" a="1"/>
  <c r="J245" i="3" s="1"/>
  <c r="K245" i="3" a="1"/>
  <c r="K245" i="3" s="1"/>
  <c r="L245" i="3" a="1"/>
  <c r="L245" i="3" s="1"/>
  <c r="C246" i="3" a="1"/>
  <c r="C246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I246" i="3" a="1"/>
  <c r="I246" i="3" s="1"/>
  <c r="J246" i="3" a="1"/>
  <c r="J246" i="3" s="1"/>
  <c r="K246" i="3" a="1"/>
  <c r="K246" i="3" s="1"/>
  <c r="L246" i="3" a="1"/>
  <c r="L246" i="3" s="1"/>
  <c r="C247" i="3" a="1"/>
  <c r="C247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I247" i="3" a="1"/>
  <c r="I247" i="3" s="1"/>
  <c r="J247" i="3" a="1"/>
  <c r="J247" i="3" s="1"/>
  <c r="K247" i="3" a="1"/>
  <c r="K247" i="3" s="1"/>
  <c r="L247" i="3" a="1"/>
  <c r="L247" i="3" s="1"/>
  <c r="C248" i="3" a="1"/>
  <c r="C248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I248" i="3" a="1"/>
  <c r="I248" i="3" s="1"/>
  <c r="J248" i="3" a="1"/>
  <c r="J248" i="3" s="1"/>
  <c r="K248" i="3" a="1"/>
  <c r="K248" i="3" s="1"/>
  <c r="L248" i="3" a="1"/>
  <c r="L248" i="3" s="1"/>
  <c r="C249" i="3" a="1"/>
  <c r="C249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I249" i="3" a="1"/>
  <c r="I249" i="3" s="1"/>
  <c r="J249" i="3" a="1"/>
  <c r="J249" i="3" s="1"/>
  <c r="K249" i="3" a="1"/>
  <c r="K249" i="3" s="1"/>
  <c r="L249" i="3" a="1"/>
  <c r="L249" i="3" s="1"/>
  <c r="C250" i="3" a="1"/>
  <c r="C250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I250" i="3" a="1"/>
  <c r="I250" i="3" s="1"/>
  <c r="J250" i="3" a="1"/>
  <c r="J250" i="3" s="1"/>
  <c r="K250" i="3" a="1"/>
  <c r="K250" i="3" s="1"/>
  <c r="L250" i="3" a="1"/>
  <c r="L250" i="3" s="1"/>
  <c r="C251" i="3" a="1"/>
  <c r="C251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I251" i="3" a="1"/>
  <c r="I251" i="3" s="1"/>
  <c r="J251" i="3" a="1"/>
  <c r="J251" i="3" s="1"/>
  <c r="K251" i="3" a="1"/>
  <c r="K251" i="3" s="1"/>
  <c r="L251" i="3" a="1"/>
  <c r="L251" i="3" s="1"/>
  <c r="C252" i="3" a="1"/>
  <c r="C252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I252" i="3" a="1"/>
  <c r="I252" i="3" s="1"/>
  <c r="J252" i="3" a="1"/>
  <c r="J252" i="3" s="1"/>
  <c r="K252" i="3" a="1"/>
  <c r="K252" i="3" s="1"/>
  <c r="L252" i="3" a="1"/>
  <c r="L252" i="3" s="1"/>
  <c r="C253" i="3" a="1"/>
  <c r="C253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I253" i="3" a="1"/>
  <c r="I253" i="3" s="1"/>
  <c r="J253" i="3" a="1"/>
  <c r="J253" i="3" s="1"/>
  <c r="K253" i="3" a="1"/>
  <c r="K253" i="3" s="1"/>
  <c r="L253" i="3" a="1"/>
  <c r="L253" i="3" s="1"/>
  <c r="C254" i="3" a="1"/>
  <c r="C254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I254" i="3" a="1"/>
  <c r="I254" i="3" s="1"/>
  <c r="J254" i="3" a="1"/>
  <c r="J254" i="3" s="1"/>
  <c r="K254" i="3" a="1"/>
  <c r="K254" i="3" s="1"/>
  <c r="L254" i="3" a="1"/>
  <c r="L254" i="3" s="1"/>
  <c r="C255" i="3" a="1"/>
  <c r="C255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I255" i="3" a="1"/>
  <c r="I255" i="3" s="1"/>
  <c r="J255" i="3" a="1"/>
  <c r="J255" i="3" s="1"/>
  <c r="K255" i="3" a="1"/>
  <c r="K255" i="3" s="1"/>
  <c r="L255" i="3" a="1"/>
  <c r="L255" i="3" s="1"/>
  <c r="C256" i="3" a="1"/>
  <c r="C256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I256" i="3" a="1"/>
  <c r="I256" i="3" s="1"/>
  <c r="J256" i="3" a="1"/>
  <c r="J256" i="3" s="1"/>
  <c r="K256" i="3" a="1"/>
  <c r="K256" i="3" s="1"/>
  <c r="L256" i="3" a="1"/>
  <c r="L256" i="3" s="1"/>
  <c r="C257" i="3" a="1"/>
  <c r="C257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I257" i="3" a="1"/>
  <c r="I257" i="3" s="1"/>
  <c r="J257" i="3" a="1"/>
  <c r="J257" i="3" s="1"/>
  <c r="K257" i="3" a="1"/>
  <c r="K257" i="3" s="1"/>
  <c r="L257" i="3" a="1"/>
  <c r="L257" i="3" s="1"/>
  <c r="C258" i="3" a="1"/>
  <c r="C258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I258" i="3" a="1"/>
  <c r="I258" i="3" s="1"/>
  <c r="J258" i="3" a="1"/>
  <c r="J258" i="3" s="1"/>
  <c r="K258" i="3" a="1"/>
  <c r="K258" i="3" s="1"/>
  <c r="L258" i="3" a="1"/>
  <c r="L258" i="3" s="1"/>
  <c r="C259" i="3" a="1"/>
  <c r="C259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I259" i="3" a="1"/>
  <c r="I259" i="3" s="1"/>
  <c r="J259" i="3" a="1"/>
  <c r="J259" i="3" s="1"/>
  <c r="K259" i="3" a="1"/>
  <c r="K259" i="3" s="1"/>
  <c r="L259" i="3" a="1"/>
  <c r="L259" i="3" s="1"/>
  <c r="C260" i="3" a="1"/>
  <c r="C260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I260" i="3" a="1"/>
  <c r="I260" i="3" s="1"/>
  <c r="J260" i="3" a="1"/>
  <c r="J260" i="3" s="1"/>
  <c r="K260" i="3" a="1"/>
  <c r="K260" i="3" s="1"/>
  <c r="L260" i="3" a="1"/>
  <c r="L260" i="3" s="1"/>
  <c r="C261" i="3" a="1"/>
  <c r="C261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I261" i="3" a="1"/>
  <c r="I261" i="3" s="1"/>
  <c r="J261" i="3" a="1"/>
  <c r="J261" i="3" s="1"/>
  <c r="K261" i="3" a="1"/>
  <c r="K261" i="3" s="1"/>
  <c r="L261" i="3" a="1"/>
  <c r="L261" i="3" s="1"/>
  <c r="C262" i="3" a="1"/>
  <c r="C262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I262" i="3" a="1"/>
  <c r="I262" i="3" s="1"/>
  <c r="J262" i="3" a="1"/>
  <c r="J262" i="3" s="1"/>
  <c r="K262" i="3" a="1"/>
  <c r="K262" i="3" s="1"/>
  <c r="L262" i="3" a="1"/>
  <c r="L262" i="3" s="1"/>
  <c r="C263" i="3" a="1"/>
  <c r="C263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I263" i="3" a="1"/>
  <c r="I263" i="3" s="1"/>
  <c r="J263" i="3" a="1"/>
  <c r="J263" i="3" s="1"/>
  <c r="K263" i="3" a="1"/>
  <c r="K263" i="3" s="1"/>
  <c r="L263" i="3" a="1"/>
  <c r="L263" i="3" s="1"/>
  <c r="C264" i="3" a="1"/>
  <c r="C264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I264" i="3" a="1"/>
  <c r="I264" i="3" s="1"/>
  <c r="J264" i="3" a="1"/>
  <c r="J264" i="3" s="1"/>
  <c r="K264" i="3" a="1"/>
  <c r="K264" i="3" s="1"/>
  <c r="L264" i="3" a="1"/>
  <c r="L264" i="3" s="1"/>
  <c r="C265" i="3" a="1"/>
  <c r="C265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I265" i="3" a="1"/>
  <c r="I265" i="3" s="1"/>
  <c r="J265" i="3" a="1"/>
  <c r="J265" i="3" s="1"/>
  <c r="K265" i="3" a="1"/>
  <c r="K265" i="3" s="1"/>
  <c r="L265" i="3" a="1"/>
  <c r="L265" i="3" s="1"/>
  <c r="C266" i="3" a="1"/>
  <c r="C266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I266" i="3" a="1"/>
  <c r="I266" i="3" s="1"/>
  <c r="J266" i="3" a="1"/>
  <c r="J266" i="3" s="1"/>
  <c r="K266" i="3" a="1"/>
  <c r="K266" i="3" s="1"/>
  <c r="L266" i="3" a="1"/>
  <c r="L266" i="3" s="1"/>
  <c r="C267" i="3" a="1"/>
  <c r="C267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I267" i="3" a="1"/>
  <c r="I267" i="3" s="1"/>
  <c r="J267" i="3" a="1"/>
  <c r="J267" i="3" s="1"/>
  <c r="K267" i="3" a="1"/>
  <c r="K267" i="3" s="1"/>
  <c r="L267" i="3" a="1"/>
  <c r="L267" i="3" s="1"/>
  <c r="C268" i="3" a="1"/>
  <c r="C268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I268" i="3" a="1"/>
  <c r="I268" i="3" s="1"/>
  <c r="J268" i="3" a="1"/>
  <c r="J268" i="3" s="1"/>
  <c r="K268" i="3" a="1"/>
  <c r="K268" i="3" s="1"/>
  <c r="L268" i="3" a="1"/>
  <c r="L268" i="3" s="1"/>
  <c r="C269" i="3" a="1"/>
  <c r="C269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I269" i="3" a="1"/>
  <c r="I269" i="3" s="1"/>
  <c r="J269" i="3" a="1"/>
  <c r="J269" i="3" s="1"/>
  <c r="K269" i="3" a="1"/>
  <c r="K269" i="3" s="1"/>
  <c r="L269" i="3" a="1"/>
  <c r="L269" i="3" s="1"/>
  <c r="C270" i="3" a="1"/>
  <c r="C270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I270" i="3" a="1"/>
  <c r="I270" i="3" s="1"/>
  <c r="J270" i="3" a="1"/>
  <c r="J270" i="3" s="1"/>
  <c r="K270" i="3" a="1"/>
  <c r="K270" i="3" s="1"/>
  <c r="L270" i="3" a="1"/>
  <c r="L270" i="3" s="1"/>
  <c r="C271" i="3" a="1"/>
  <c r="C271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I271" i="3" a="1"/>
  <c r="I271" i="3" s="1"/>
  <c r="J271" i="3" a="1"/>
  <c r="J271" i="3" s="1"/>
  <c r="K271" i="3" a="1"/>
  <c r="K271" i="3" s="1"/>
  <c r="L271" i="3" a="1"/>
  <c r="L271" i="3" s="1"/>
  <c r="C272" i="3" a="1"/>
  <c r="C272" i="3" s="1"/>
  <c r="D272" i="3" a="1"/>
  <c r="D272" i="3" s="1"/>
  <c r="E272" i="3" a="1"/>
  <c r="E272" i="3" s="1"/>
  <c r="F272" i="3" a="1"/>
  <c r="F272" i="3" s="1"/>
  <c r="G272" i="3" a="1"/>
  <c r="G272" i="3" s="1"/>
  <c r="H272" i="3" a="1"/>
  <c r="H272" i="3" s="1"/>
  <c r="I272" i="3" a="1"/>
  <c r="I272" i="3" s="1"/>
  <c r="J272" i="3" a="1"/>
  <c r="J272" i="3" s="1"/>
  <c r="K272" i="3" a="1"/>
  <c r="K272" i="3" s="1"/>
  <c r="L272" i="3" a="1"/>
  <c r="L272" i="3" s="1"/>
  <c r="C273" i="3" a="1"/>
  <c r="C273" i="3" s="1"/>
  <c r="D273" i="3" a="1"/>
  <c r="D273" i="3" s="1"/>
  <c r="E273" i="3" a="1"/>
  <c r="E273" i="3" s="1"/>
  <c r="F273" i="3" a="1"/>
  <c r="F273" i="3" s="1"/>
  <c r="G273" i="3" a="1"/>
  <c r="G273" i="3" s="1"/>
  <c r="H273" i="3" a="1"/>
  <c r="H273" i="3" s="1"/>
  <c r="I273" i="3" a="1"/>
  <c r="I273" i="3" s="1"/>
  <c r="J273" i="3" a="1"/>
  <c r="J273" i="3" s="1"/>
  <c r="K273" i="3" a="1"/>
  <c r="K273" i="3" s="1"/>
  <c r="L273" i="3" a="1"/>
  <c r="L273" i="3" s="1"/>
  <c r="C274" i="3" a="1"/>
  <c r="C274" i="3" s="1"/>
  <c r="D274" i="3" a="1"/>
  <c r="D274" i="3" s="1"/>
  <c r="E274" i="3" a="1"/>
  <c r="E274" i="3" s="1"/>
  <c r="F274" i="3" a="1"/>
  <c r="F274" i="3" s="1"/>
  <c r="G274" i="3" a="1"/>
  <c r="G274" i="3" s="1"/>
  <c r="H274" i="3" a="1"/>
  <c r="H274" i="3" s="1"/>
  <c r="I274" i="3" a="1"/>
  <c r="I274" i="3" s="1"/>
  <c r="J274" i="3" a="1"/>
  <c r="J274" i="3" s="1"/>
  <c r="K274" i="3" a="1"/>
  <c r="K274" i="3" s="1"/>
  <c r="L274" i="3" a="1"/>
  <c r="L274" i="3" s="1"/>
  <c r="C275" i="3" a="1"/>
  <c r="C275" i="3" s="1"/>
  <c r="D275" i="3" a="1"/>
  <c r="D275" i="3" s="1"/>
  <c r="E275" i="3" a="1"/>
  <c r="E275" i="3" s="1"/>
  <c r="F275" i="3" a="1"/>
  <c r="F275" i="3" s="1"/>
  <c r="G275" i="3" a="1"/>
  <c r="G275" i="3" s="1"/>
  <c r="H275" i="3" a="1"/>
  <c r="H275" i="3" s="1"/>
  <c r="I275" i="3" a="1"/>
  <c r="I275" i="3" s="1"/>
  <c r="J275" i="3" a="1"/>
  <c r="J275" i="3" s="1"/>
  <c r="K275" i="3" a="1"/>
  <c r="K275" i="3" s="1"/>
  <c r="L275" i="3" a="1"/>
  <c r="L275" i="3" s="1"/>
  <c r="C276" i="3" a="1"/>
  <c r="C276" i="3" s="1"/>
  <c r="D276" i="3" a="1"/>
  <c r="D276" i="3" s="1"/>
  <c r="E276" i="3" a="1"/>
  <c r="E276" i="3" s="1"/>
  <c r="F276" i="3" a="1"/>
  <c r="F276" i="3" s="1"/>
  <c r="G276" i="3" a="1"/>
  <c r="G276" i="3" s="1"/>
  <c r="H276" i="3" a="1"/>
  <c r="H276" i="3" s="1"/>
  <c r="I276" i="3" a="1"/>
  <c r="I276" i="3" s="1"/>
  <c r="J276" i="3" a="1"/>
  <c r="J276" i="3" s="1"/>
  <c r="K276" i="3" a="1"/>
  <c r="K276" i="3" s="1"/>
  <c r="L276" i="3" a="1"/>
  <c r="L276" i="3" s="1"/>
  <c r="C277" i="3" a="1"/>
  <c r="C277" i="3" s="1"/>
  <c r="D277" i="3" a="1"/>
  <c r="D277" i="3" s="1"/>
  <c r="E277" i="3" a="1"/>
  <c r="E277" i="3" s="1"/>
  <c r="F277" i="3" a="1"/>
  <c r="F277" i="3" s="1"/>
  <c r="G277" i="3" a="1"/>
  <c r="G277" i="3" s="1"/>
  <c r="H277" i="3" a="1"/>
  <c r="H277" i="3" s="1"/>
  <c r="I277" i="3" a="1"/>
  <c r="I277" i="3" s="1"/>
  <c r="J277" i="3" a="1"/>
  <c r="J277" i="3" s="1"/>
  <c r="K277" i="3" a="1"/>
  <c r="K277" i="3" s="1"/>
  <c r="L277" i="3" a="1"/>
  <c r="L277" i="3" s="1"/>
  <c r="C278" i="3" a="1"/>
  <c r="C278" i="3" s="1"/>
  <c r="D278" i="3" a="1"/>
  <c r="D278" i="3" s="1"/>
  <c r="E278" i="3" a="1"/>
  <c r="E278" i="3" s="1"/>
  <c r="F278" i="3" a="1"/>
  <c r="F278" i="3" s="1"/>
  <c r="G278" i="3" a="1"/>
  <c r="G278" i="3" s="1"/>
  <c r="H278" i="3" a="1"/>
  <c r="H278" i="3" s="1"/>
  <c r="I278" i="3" a="1"/>
  <c r="I278" i="3" s="1"/>
  <c r="J278" i="3" a="1"/>
  <c r="J278" i="3" s="1"/>
  <c r="K278" i="3" a="1"/>
  <c r="K278" i="3" s="1"/>
  <c r="L278" i="3" a="1"/>
  <c r="L278" i="3" s="1"/>
  <c r="C279" i="3" a="1"/>
  <c r="C279" i="3" s="1"/>
  <c r="D279" i="3" a="1"/>
  <c r="D279" i="3" s="1"/>
  <c r="E279" i="3" a="1"/>
  <c r="E279" i="3" s="1"/>
  <c r="F279" i="3" a="1"/>
  <c r="F279" i="3" s="1"/>
  <c r="G279" i="3" a="1"/>
  <c r="G279" i="3" s="1"/>
  <c r="H279" i="3" a="1"/>
  <c r="H279" i="3" s="1"/>
  <c r="I279" i="3" a="1"/>
  <c r="I279" i="3" s="1"/>
  <c r="J279" i="3" a="1"/>
  <c r="J279" i="3" s="1"/>
  <c r="K279" i="3" a="1"/>
  <c r="K279" i="3" s="1"/>
  <c r="L279" i="3" a="1"/>
  <c r="L279" i="3" s="1"/>
  <c r="C280" i="3" a="1"/>
  <c r="C280" i="3" s="1"/>
  <c r="D280" i="3" a="1"/>
  <c r="D280" i="3" s="1"/>
  <c r="E280" i="3" a="1"/>
  <c r="E280" i="3" s="1"/>
  <c r="F280" i="3" a="1"/>
  <c r="F280" i="3" s="1"/>
  <c r="G280" i="3" a="1"/>
  <c r="G280" i="3" s="1"/>
  <c r="H280" i="3" a="1"/>
  <c r="H280" i="3" s="1"/>
  <c r="I280" i="3" a="1"/>
  <c r="I280" i="3" s="1"/>
  <c r="J280" i="3" a="1"/>
  <c r="J280" i="3" s="1"/>
  <c r="K280" i="3" a="1"/>
  <c r="K280" i="3" s="1"/>
  <c r="L280" i="3" a="1"/>
  <c r="L280" i="3" s="1"/>
  <c r="C281" i="3" a="1"/>
  <c r="C281" i="3" s="1"/>
  <c r="D281" i="3" a="1"/>
  <c r="D281" i="3" s="1"/>
  <c r="E281" i="3" a="1"/>
  <c r="E281" i="3" s="1"/>
  <c r="F281" i="3" a="1"/>
  <c r="F281" i="3" s="1"/>
  <c r="G281" i="3" a="1"/>
  <c r="G281" i="3" s="1"/>
  <c r="H281" i="3" a="1"/>
  <c r="H281" i="3" s="1"/>
  <c r="I281" i="3" a="1"/>
  <c r="I281" i="3" s="1"/>
  <c r="J281" i="3" a="1"/>
  <c r="J281" i="3" s="1"/>
  <c r="K281" i="3" a="1"/>
  <c r="K281" i="3" s="1"/>
  <c r="L281" i="3" a="1"/>
  <c r="L281" i="3" s="1"/>
  <c r="C282" i="3" a="1"/>
  <c r="C282" i="3" s="1"/>
  <c r="D282" i="3" a="1"/>
  <c r="D282" i="3" s="1"/>
  <c r="E282" i="3" a="1"/>
  <c r="E282" i="3" s="1"/>
  <c r="F282" i="3" a="1"/>
  <c r="F282" i="3" s="1"/>
  <c r="G282" i="3" a="1"/>
  <c r="G282" i="3" s="1"/>
  <c r="H282" i="3" a="1"/>
  <c r="H282" i="3" s="1"/>
  <c r="I282" i="3" a="1"/>
  <c r="I282" i="3" s="1"/>
  <c r="J282" i="3" a="1"/>
  <c r="J282" i="3" s="1"/>
  <c r="K282" i="3" a="1"/>
  <c r="K282" i="3" s="1"/>
  <c r="L282" i="3" a="1"/>
  <c r="L282" i="3" s="1"/>
  <c r="C283" i="3" a="1"/>
  <c r="C283" i="3" s="1"/>
  <c r="D283" i="3" a="1"/>
  <c r="D283" i="3" s="1"/>
  <c r="E283" i="3" a="1"/>
  <c r="E283" i="3" s="1"/>
  <c r="F283" i="3" a="1"/>
  <c r="F283" i="3" s="1"/>
  <c r="G283" i="3" a="1"/>
  <c r="G283" i="3" s="1"/>
  <c r="H283" i="3" a="1"/>
  <c r="H283" i="3" s="1"/>
  <c r="I283" i="3" a="1"/>
  <c r="I283" i="3" s="1"/>
  <c r="J283" i="3" a="1"/>
  <c r="J283" i="3" s="1"/>
  <c r="K283" i="3" a="1"/>
  <c r="K283" i="3" s="1"/>
  <c r="L283" i="3" a="1"/>
  <c r="L283" i="3" s="1"/>
  <c r="C284" i="3" a="1"/>
  <c r="C284" i="3" s="1"/>
  <c r="D284" i="3" a="1"/>
  <c r="D284" i="3" s="1"/>
  <c r="E284" i="3" a="1"/>
  <c r="E284" i="3" s="1"/>
  <c r="F284" i="3" a="1"/>
  <c r="F284" i="3" s="1"/>
  <c r="G284" i="3" a="1"/>
  <c r="G284" i="3" s="1"/>
  <c r="H284" i="3" a="1"/>
  <c r="H284" i="3" s="1"/>
  <c r="I284" i="3" a="1"/>
  <c r="I284" i="3" s="1"/>
  <c r="J284" i="3" a="1"/>
  <c r="J284" i="3" s="1"/>
  <c r="K284" i="3" a="1"/>
  <c r="K284" i="3" s="1"/>
  <c r="L284" i="3" a="1"/>
  <c r="L284" i="3" s="1"/>
  <c r="C285" i="3" a="1"/>
  <c r="C285" i="3" s="1"/>
  <c r="D285" i="3" a="1"/>
  <c r="D285" i="3" s="1"/>
  <c r="E285" i="3" a="1"/>
  <c r="E285" i="3" s="1"/>
  <c r="F285" i="3" a="1"/>
  <c r="F285" i="3" s="1"/>
  <c r="G285" i="3" a="1"/>
  <c r="G285" i="3" s="1"/>
  <c r="H285" i="3" a="1"/>
  <c r="H285" i="3" s="1"/>
  <c r="I285" i="3" a="1"/>
  <c r="I285" i="3" s="1"/>
  <c r="J285" i="3" a="1"/>
  <c r="J285" i="3" s="1"/>
  <c r="K285" i="3" a="1"/>
  <c r="K285" i="3" s="1"/>
  <c r="L285" i="3" a="1"/>
  <c r="L285" i="3" s="1"/>
  <c r="C286" i="3" a="1"/>
  <c r="C286" i="3" s="1"/>
  <c r="D286" i="3" a="1"/>
  <c r="D286" i="3" s="1"/>
  <c r="E286" i="3" a="1"/>
  <c r="E286" i="3" s="1"/>
  <c r="F286" i="3" a="1"/>
  <c r="F286" i="3" s="1"/>
  <c r="G286" i="3" a="1"/>
  <c r="G286" i="3" s="1"/>
  <c r="H286" i="3" a="1"/>
  <c r="H286" i="3" s="1"/>
  <c r="I286" i="3" a="1"/>
  <c r="I286" i="3" s="1"/>
  <c r="J286" i="3" a="1"/>
  <c r="J286" i="3" s="1"/>
  <c r="K286" i="3" a="1"/>
  <c r="K286" i="3" s="1"/>
  <c r="L286" i="3" a="1"/>
  <c r="L286" i="3" s="1"/>
  <c r="C287" i="3" a="1"/>
  <c r="C287" i="3" s="1"/>
  <c r="D287" i="3" a="1"/>
  <c r="D287" i="3" s="1"/>
  <c r="E287" i="3" a="1"/>
  <c r="E287" i="3" s="1"/>
  <c r="F287" i="3" a="1"/>
  <c r="F287" i="3" s="1"/>
  <c r="G287" i="3" a="1"/>
  <c r="G287" i="3" s="1"/>
  <c r="H287" i="3" a="1"/>
  <c r="H287" i="3" s="1"/>
  <c r="I287" i="3" a="1"/>
  <c r="I287" i="3" s="1"/>
  <c r="J287" i="3" a="1"/>
  <c r="J287" i="3" s="1"/>
  <c r="K287" i="3" a="1"/>
  <c r="K287" i="3" s="1"/>
  <c r="L287" i="3" a="1"/>
  <c r="L287" i="3" s="1"/>
  <c r="C288" i="3" a="1"/>
  <c r="C288" i="3" s="1"/>
  <c r="D288" i="3" a="1"/>
  <c r="D288" i="3" s="1"/>
  <c r="E288" i="3" a="1"/>
  <c r="E288" i="3" s="1"/>
  <c r="F288" i="3" a="1"/>
  <c r="F288" i="3" s="1"/>
  <c r="G288" i="3" a="1"/>
  <c r="G288" i="3" s="1"/>
  <c r="H288" i="3" a="1"/>
  <c r="H288" i="3" s="1"/>
  <c r="I288" i="3" a="1"/>
  <c r="I288" i="3" s="1"/>
  <c r="J288" i="3" a="1"/>
  <c r="J288" i="3" s="1"/>
  <c r="K288" i="3" a="1"/>
  <c r="K288" i="3" s="1"/>
  <c r="L288" i="3" a="1"/>
  <c r="L288" i="3" s="1"/>
  <c r="C289" i="3" a="1"/>
  <c r="C289" i="3" s="1"/>
  <c r="D289" i="3" a="1"/>
  <c r="D289" i="3" s="1"/>
  <c r="E289" i="3" a="1"/>
  <c r="E289" i="3" s="1"/>
  <c r="F289" i="3" a="1"/>
  <c r="F289" i="3" s="1"/>
  <c r="G289" i="3" a="1"/>
  <c r="G289" i="3" s="1"/>
  <c r="H289" i="3" a="1"/>
  <c r="H289" i="3" s="1"/>
  <c r="I289" i="3" a="1"/>
  <c r="I289" i="3" s="1"/>
  <c r="J289" i="3" a="1"/>
  <c r="J289" i="3" s="1"/>
  <c r="K289" i="3" a="1"/>
  <c r="K289" i="3" s="1"/>
  <c r="L289" i="3" a="1"/>
  <c r="L289" i="3" s="1"/>
  <c r="C290" i="3" a="1"/>
  <c r="C290" i="3" s="1"/>
  <c r="D290" i="3" a="1"/>
  <c r="D290" i="3" s="1"/>
  <c r="E290" i="3" a="1"/>
  <c r="E290" i="3" s="1"/>
  <c r="F290" i="3" a="1"/>
  <c r="F290" i="3" s="1"/>
  <c r="G290" i="3" a="1"/>
  <c r="G290" i="3" s="1"/>
  <c r="H290" i="3" a="1"/>
  <c r="H290" i="3" s="1"/>
  <c r="I290" i="3" a="1"/>
  <c r="I290" i="3" s="1"/>
  <c r="J290" i="3" a="1"/>
  <c r="J290" i="3" s="1"/>
  <c r="K290" i="3" a="1"/>
  <c r="K290" i="3" s="1"/>
  <c r="L290" i="3" a="1"/>
  <c r="L290" i="3" s="1"/>
  <c r="C291" i="3" a="1"/>
  <c r="C291" i="3" s="1"/>
  <c r="D291" i="3" a="1"/>
  <c r="D291" i="3" s="1"/>
  <c r="E291" i="3" a="1"/>
  <c r="E291" i="3" s="1"/>
  <c r="F291" i="3" a="1"/>
  <c r="F291" i="3" s="1"/>
  <c r="G291" i="3" a="1"/>
  <c r="G291" i="3" s="1"/>
  <c r="H291" i="3" a="1"/>
  <c r="H291" i="3" s="1"/>
  <c r="I291" i="3" a="1"/>
  <c r="I291" i="3" s="1"/>
  <c r="J291" i="3" a="1"/>
  <c r="J291" i="3" s="1"/>
  <c r="K291" i="3" a="1"/>
  <c r="K291" i="3" s="1"/>
  <c r="L291" i="3" a="1"/>
  <c r="L291" i="3" s="1"/>
  <c r="C292" i="3" a="1"/>
  <c r="C292" i="3" s="1"/>
  <c r="D292" i="3" a="1"/>
  <c r="D292" i="3" s="1"/>
  <c r="E292" i="3" a="1"/>
  <c r="E292" i="3" s="1"/>
  <c r="F292" i="3" a="1"/>
  <c r="F292" i="3" s="1"/>
  <c r="G292" i="3" a="1"/>
  <c r="G292" i="3" s="1"/>
  <c r="H292" i="3" a="1"/>
  <c r="H292" i="3" s="1"/>
  <c r="I292" i="3" a="1"/>
  <c r="I292" i="3" s="1"/>
  <c r="J292" i="3" a="1"/>
  <c r="J292" i="3" s="1"/>
  <c r="K292" i="3" a="1"/>
  <c r="K292" i="3" s="1"/>
  <c r="L292" i="3" a="1"/>
  <c r="L292" i="3" s="1"/>
  <c r="C293" i="3" a="1"/>
  <c r="C293" i="3" s="1"/>
  <c r="D293" i="3" a="1"/>
  <c r="D293" i="3" s="1"/>
  <c r="E293" i="3" a="1"/>
  <c r="E293" i="3" s="1"/>
  <c r="F293" i="3" a="1"/>
  <c r="F293" i="3" s="1"/>
  <c r="G293" i="3" a="1"/>
  <c r="G293" i="3" s="1"/>
  <c r="H293" i="3" a="1"/>
  <c r="H293" i="3" s="1"/>
  <c r="I293" i="3" a="1"/>
  <c r="I293" i="3" s="1"/>
  <c r="J293" i="3" a="1"/>
  <c r="J293" i="3" s="1"/>
  <c r="K293" i="3" a="1"/>
  <c r="K293" i="3" s="1"/>
  <c r="L293" i="3" a="1"/>
  <c r="L293" i="3" s="1"/>
  <c r="C294" i="3" a="1"/>
  <c r="C294" i="3" s="1"/>
  <c r="D294" i="3" a="1"/>
  <c r="D294" i="3" s="1"/>
  <c r="E294" i="3" a="1"/>
  <c r="E294" i="3" s="1"/>
  <c r="F294" i="3" a="1"/>
  <c r="F294" i="3" s="1"/>
  <c r="G294" i="3" a="1"/>
  <c r="G294" i="3" s="1"/>
  <c r="H294" i="3" a="1"/>
  <c r="H294" i="3" s="1"/>
  <c r="I294" i="3" a="1"/>
  <c r="I294" i="3" s="1"/>
  <c r="J294" i="3" a="1"/>
  <c r="J294" i="3" s="1"/>
  <c r="K294" i="3" a="1"/>
  <c r="K294" i="3" s="1"/>
  <c r="L294" i="3" a="1"/>
  <c r="L294" i="3" s="1"/>
  <c r="C295" i="3" a="1"/>
  <c r="C295" i="3" s="1"/>
  <c r="D295" i="3" a="1"/>
  <c r="D295" i="3" s="1"/>
  <c r="E295" i="3" a="1"/>
  <c r="E295" i="3" s="1"/>
  <c r="F295" i="3" a="1"/>
  <c r="F295" i="3" s="1"/>
  <c r="G295" i="3" a="1"/>
  <c r="G295" i="3" s="1"/>
  <c r="H295" i="3" a="1"/>
  <c r="H295" i="3" s="1"/>
  <c r="I295" i="3" a="1"/>
  <c r="I295" i="3" s="1"/>
  <c r="J295" i="3" a="1"/>
  <c r="J295" i="3" s="1"/>
  <c r="K295" i="3" a="1"/>
  <c r="K295" i="3" s="1"/>
  <c r="L295" i="3" a="1"/>
  <c r="L295" i="3" s="1"/>
  <c r="C296" i="3" a="1"/>
  <c r="C296" i="3" s="1"/>
  <c r="D296" i="3" a="1"/>
  <c r="D296" i="3" s="1"/>
  <c r="E296" i="3" a="1"/>
  <c r="E296" i="3" s="1"/>
  <c r="F296" i="3" a="1"/>
  <c r="F296" i="3" s="1"/>
  <c r="G296" i="3" a="1"/>
  <c r="G296" i="3" s="1"/>
  <c r="H296" i="3" a="1"/>
  <c r="H296" i="3" s="1"/>
  <c r="I296" i="3" a="1"/>
  <c r="I296" i="3" s="1"/>
  <c r="J296" i="3" a="1"/>
  <c r="J296" i="3" s="1"/>
  <c r="K296" i="3" a="1"/>
  <c r="K296" i="3" s="1"/>
  <c r="L296" i="3" a="1"/>
  <c r="L296" i="3" s="1"/>
  <c r="C297" i="3" a="1"/>
  <c r="C297" i="3" s="1"/>
  <c r="D297" i="3" a="1"/>
  <c r="D297" i="3" s="1"/>
  <c r="E297" i="3" a="1"/>
  <c r="E297" i="3" s="1"/>
  <c r="F297" i="3" a="1"/>
  <c r="F297" i="3" s="1"/>
  <c r="G297" i="3" a="1"/>
  <c r="G297" i="3" s="1"/>
  <c r="H297" i="3" a="1"/>
  <c r="H297" i="3" s="1"/>
  <c r="I297" i="3" a="1"/>
  <c r="I297" i="3" s="1"/>
  <c r="J297" i="3" a="1"/>
  <c r="J297" i="3" s="1"/>
  <c r="K297" i="3" a="1"/>
  <c r="K297" i="3" s="1"/>
  <c r="L297" i="3" a="1"/>
  <c r="L297" i="3" s="1"/>
  <c r="C298" i="3" a="1"/>
  <c r="C298" i="3" s="1"/>
  <c r="D298" i="3" a="1"/>
  <c r="D298" i="3" s="1"/>
  <c r="E298" i="3" a="1"/>
  <c r="E298" i="3" s="1"/>
  <c r="F298" i="3" a="1"/>
  <c r="F298" i="3" s="1"/>
  <c r="G298" i="3" a="1"/>
  <c r="G298" i="3" s="1"/>
  <c r="H298" i="3" a="1"/>
  <c r="H298" i="3" s="1"/>
  <c r="I298" i="3" a="1"/>
  <c r="I298" i="3" s="1"/>
  <c r="J298" i="3" a="1"/>
  <c r="J298" i="3" s="1"/>
  <c r="K298" i="3" a="1"/>
  <c r="K298" i="3" s="1"/>
  <c r="L298" i="3" a="1"/>
  <c r="L298" i="3" s="1"/>
  <c r="C299" i="3" a="1"/>
  <c r="C299" i="3" s="1"/>
  <c r="D299" i="3" a="1"/>
  <c r="D299" i="3" s="1"/>
  <c r="E299" i="3" a="1"/>
  <c r="E299" i="3" s="1"/>
  <c r="F299" i="3" a="1"/>
  <c r="F299" i="3" s="1"/>
  <c r="G299" i="3" a="1"/>
  <c r="G299" i="3" s="1"/>
  <c r="H299" i="3" a="1"/>
  <c r="H299" i="3" s="1"/>
  <c r="I299" i="3" a="1"/>
  <c r="I299" i="3" s="1"/>
  <c r="J299" i="3" a="1"/>
  <c r="J299" i="3" s="1"/>
  <c r="K299" i="3" a="1"/>
  <c r="K299" i="3" s="1"/>
  <c r="L299" i="3" a="1"/>
  <c r="L299" i="3" s="1"/>
  <c r="C300" i="3" a="1"/>
  <c r="C300" i="3" s="1"/>
  <c r="D300" i="3" a="1"/>
  <c r="D300" i="3" s="1"/>
  <c r="E300" i="3" a="1"/>
  <c r="E300" i="3" s="1"/>
  <c r="F300" i="3" a="1"/>
  <c r="F300" i="3" s="1"/>
  <c r="G300" i="3" a="1"/>
  <c r="G300" i="3" s="1"/>
  <c r="H300" i="3" a="1"/>
  <c r="H300" i="3" s="1"/>
  <c r="I300" i="3" a="1"/>
  <c r="I300" i="3" s="1"/>
  <c r="J300" i="3" a="1"/>
  <c r="J300" i="3" s="1"/>
  <c r="K300" i="3" a="1"/>
  <c r="K300" i="3" s="1"/>
  <c r="L300" i="3" a="1"/>
  <c r="L300" i="3" s="1"/>
  <c r="B1" i="12" l="1"/>
  <c r="A1" i="12"/>
  <c r="B1" i="10"/>
  <c r="B1" i="7"/>
  <c r="B1" i="6"/>
  <c r="A1" i="6"/>
  <c r="B1" i="3"/>
  <c r="A1" i="3"/>
  <c r="A2" i="6" l="1" a="1"/>
  <c r="A2" i="6" s="1"/>
  <c r="A2" i="12" a="1"/>
  <c r="A2" i="12" s="1"/>
  <c r="A2" i="3" a="1"/>
  <c r="D38" i="3" l="1" a="1"/>
  <c r="D38" i="3" s="1"/>
  <c r="A2" i="3"/>
  <c r="L5" i="3" s="1" a="1"/>
  <c r="L5" i="3" s="1"/>
  <c r="J38" i="3" l="1" a="1"/>
  <c r="J38" i="3" s="1"/>
  <c r="H38" i="3" a="1"/>
  <c r="H38" i="3" s="1"/>
  <c r="G38" i="3" a="1"/>
  <c r="G38" i="3" s="1"/>
  <c r="K38" i="3" a="1"/>
  <c r="K38" i="3" s="1"/>
  <c r="I38" i="3" a="1"/>
  <c r="I38" i="3" s="1"/>
  <c r="G37" i="3" a="1"/>
  <c r="G37" i="3" s="1"/>
  <c r="F38" i="3" a="1"/>
  <c r="F38" i="3" s="1"/>
  <c r="L38" i="3" a="1"/>
  <c r="L38" i="3" s="1"/>
  <c r="C38" i="3" a="1"/>
  <c r="C38" i="3" s="1"/>
  <c r="E38" i="3" a="1"/>
  <c r="E38" i="3" s="1"/>
  <c r="D36" i="3" a="1"/>
  <c r="D36" i="3" s="1"/>
  <c r="J37" i="3" a="1"/>
  <c r="J37" i="3" s="1"/>
  <c r="E37" i="3" a="1"/>
  <c r="E37" i="3" s="1"/>
  <c r="I36" i="3" a="1"/>
  <c r="I36" i="3" s="1"/>
  <c r="J36" i="3" a="1"/>
  <c r="J36" i="3" s="1"/>
  <c r="H37" i="3" a="1"/>
  <c r="H37" i="3" s="1"/>
  <c r="K37" i="3" a="1"/>
  <c r="K37" i="3" s="1"/>
  <c r="I37" i="3" a="1"/>
  <c r="I37" i="3" s="1"/>
  <c r="K36" i="3" a="1"/>
  <c r="K36" i="3" s="1"/>
  <c r="F37" i="3" a="1"/>
  <c r="F37" i="3" s="1"/>
  <c r="L36" i="3" a="1"/>
  <c r="L36" i="3" s="1"/>
  <c r="C36" i="3" a="1"/>
  <c r="C36" i="3" s="1"/>
  <c r="H36" i="3" a="1"/>
  <c r="H36" i="3" s="1"/>
  <c r="D37" i="3" a="1"/>
  <c r="D37" i="3" s="1"/>
  <c r="F10" i="3" a="1"/>
  <c r="F10" i="3" s="1"/>
  <c r="C37" i="3" a="1"/>
  <c r="C37" i="3" s="1"/>
  <c r="F36" i="3" a="1"/>
  <c r="F36" i="3" s="1"/>
  <c r="L37" i="3" a="1"/>
  <c r="L37" i="3" s="1"/>
  <c r="E36" i="3" a="1"/>
  <c r="E36" i="3" s="1"/>
  <c r="G36" i="3" a="1"/>
  <c r="G36" i="3" s="1"/>
  <c r="L22" i="3" a="1"/>
  <c r="L22" i="3" s="1"/>
  <c r="J18" i="3" a="1"/>
  <c r="J18" i="3" s="1"/>
  <c r="L17" i="3" a="1"/>
  <c r="L17" i="3" s="1"/>
  <c r="K27" i="3" a="1"/>
  <c r="K27" i="3" s="1"/>
  <c r="J6" i="3" a="1"/>
  <c r="J6" i="3" s="1"/>
  <c r="L26" i="3" a="1"/>
  <c r="L26" i="3" s="1"/>
  <c r="K17" i="3" a="1"/>
  <c r="K17" i="3" s="1"/>
  <c r="L28" i="3" a="1"/>
  <c r="L28" i="3" s="1"/>
  <c r="L32" i="3" a="1"/>
  <c r="L32" i="3" s="1"/>
  <c r="L12" i="3" a="1"/>
  <c r="L12" i="3" s="1"/>
  <c r="J9" i="3" a="1"/>
  <c r="J9" i="3" s="1"/>
  <c r="K12" i="3" a="1"/>
  <c r="K12" i="3" s="1"/>
  <c r="J22" i="3" a="1"/>
  <c r="J22" i="3" s="1"/>
  <c r="J34" i="3" a="1"/>
  <c r="J34" i="3" s="1"/>
  <c r="K33" i="3" a="1"/>
  <c r="K33" i="3" s="1"/>
  <c r="J12" i="3" a="1"/>
  <c r="J12" i="3" s="1"/>
  <c r="J23" i="3" a="1"/>
  <c r="J23" i="3" s="1"/>
  <c r="K11" i="3" a="1"/>
  <c r="K11" i="3" s="1"/>
  <c r="J32" i="3" a="1"/>
  <c r="J32" i="3" s="1"/>
  <c r="J7" i="3" a="1"/>
  <c r="J7" i="3" s="1"/>
  <c r="L16" i="3" a="1"/>
  <c r="L16" i="3" s="1"/>
  <c r="K22" i="3" a="1"/>
  <c r="K22" i="3" s="1"/>
  <c r="J28" i="3" a="1"/>
  <c r="J28" i="3" s="1"/>
  <c r="L6" i="3" a="1"/>
  <c r="L6" i="3" s="1"/>
  <c r="L3" i="3" a="1"/>
  <c r="L3" i="3" s="1"/>
  <c r="K14" i="3" a="1"/>
  <c r="K14" i="3" s="1"/>
  <c r="K21" i="3" a="1"/>
  <c r="K21" i="3" s="1"/>
  <c r="K5" i="3" a="1"/>
  <c r="K5" i="3" s="1"/>
  <c r="L31" i="3" a="1"/>
  <c r="L31" i="3" s="1"/>
  <c r="K26" i="3" a="1"/>
  <c r="K26" i="3" s="1"/>
  <c r="J21" i="3" a="1"/>
  <c r="J21" i="3" s="1"/>
  <c r="L15" i="3" a="1"/>
  <c r="L15" i="3" s="1"/>
  <c r="K10" i="3" a="1"/>
  <c r="K10" i="3" s="1"/>
  <c r="J5" i="3" a="1"/>
  <c r="J5" i="3" s="1"/>
  <c r="K30" i="3" a="1"/>
  <c r="K30" i="3" s="1"/>
  <c r="L20" i="3" a="1"/>
  <c r="L20" i="3" s="1"/>
  <c r="K6" i="3" a="1"/>
  <c r="K6" i="3" s="1"/>
  <c r="J24" i="3" a="1"/>
  <c r="J24" i="3" s="1"/>
  <c r="K32" i="3" a="1"/>
  <c r="K32" i="3" s="1"/>
  <c r="J27" i="3" a="1"/>
  <c r="J27" i="3" s="1"/>
  <c r="L21" i="3" a="1"/>
  <c r="L21" i="3" s="1"/>
  <c r="K16" i="3" a="1"/>
  <c r="K16" i="3" s="1"/>
  <c r="J11" i="3" a="1"/>
  <c r="J11" i="3" s="1"/>
  <c r="C6" i="3" a="1"/>
  <c r="C6" i="3" s="1"/>
  <c r="K2" i="3" a="1"/>
  <c r="K2" i="3" s="1"/>
  <c r="L2" i="3" a="1"/>
  <c r="L2" i="3" s="1"/>
  <c r="K7" i="3" a="1"/>
  <c r="K7" i="3" s="1"/>
  <c r="J16" i="3" a="1"/>
  <c r="J16" i="3" s="1"/>
  <c r="J33" i="3" a="1"/>
  <c r="J33" i="3" s="1"/>
  <c r="K23" i="3" a="1"/>
  <c r="K23" i="3" s="1"/>
  <c r="L11" i="3" a="1"/>
  <c r="L11" i="3" s="1"/>
  <c r="L4" i="3" a="1"/>
  <c r="L4" i="3" s="1"/>
  <c r="K28" i="3" a="1"/>
  <c r="K28" i="3" s="1"/>
  <c r="K20" i="3" a="1"/>
  <c r="K20" i="3" s="1"/>
  <c r="J15" i="3" a="1"/>
  <c r="J15" i="3" s="1"/>
  <c r="L9" i="3" a="1"/>
  <c r="L9" i="3" s="1"/>
  <c r="K35" i="3" a="1"/>
  <c r="K35" i="3" s="1"/>
  <c r="J30" i="3" a="1"/>
  <c r="J30" i="3" s="1"/>
  <c r="L24" i="3" a="1"/>
  <c r="L24" i="3" s="1"/>
  <c r="K19" i="3" a="1"/>
  <c r="K19" i="3" s="1"/>
  <c r="J14" i="3" a="1"/>
  <c r="J14" i="3" s="1"/>
  <c r="L8" i="3" a="1"/>
  <c r="L8" i="3" s="1"/>
  <c r="K3" i="3" a="1"/>
  <c r="K3" i="3" s="1"/>
  <c r="L27" i="3" a="1"/>
  <c r="L27" i="3" s="1"/>
  <c r="J17" i="3" a="1"/>
  <c r="J17" i="3" s="1"/>
  <c r="L33" i="3" a="1"/>
  <c r="L33" i="3" s="1"/>
  <c r="K4" i="3" a="1"/>
  <c r="K4" i="3" s="1"/>
  <c r="L30" i="3" a="1"/>
  <c r="L30" i="3" s="1"/>
  <c r="K25" i="3" a="1"/>
  <c r="K25" i="3" s="1"/>
  <c r="J20" i="3" a="1"/>
  <c r="J20" i="3" s="1"/>
  <c r="L14" i="3" a="1"/>
  <c r="L14" i="3" s="1"/>
  <c r="K9" i="3" a="1"/>
  <c r="K9" i="3" s="1"/>
  <c r="J4" i="3" a="1"/>
  <c r="J4" i="3" s="1"/>
  <c r="J26" i="3" a="1"/>
  <c r="J26" i="3" s="1"/>
  <c r="J31" i="3" a="1"/>
  <c r="J31" i="3" s="1"/>
  <c r="L10" i="3" a="1"/>
  <c r="L10" i="3" s="1"/>
  <c r="K31" i="3" a="1"/>
  <c r="K31" i="3" s="1"/>
  <c r="L19" i="3" a="1"/>
  <c r="L19" i="3" s="1"/>
  <c r="J10" i="3" a="1"/>
  <c r="J10" i="3" s="1"/>
  <c r="L34" i="3" a="1"/>
  <c r="L34" i="3" s="1"/>
  <c r="L25" i="3" a="1"/>
  <c r="L25" i="3" s="1"/>
  <c r="L18" i="3" a="1"/>
  <c r="L18" i="3" s="1"/>
  <c r="K13" i="3" a="1"/>
  <c r="K13" i="3" s="1"/>
  <c r="J8" i="3" a="1"/>
  <c r="J8" i="3" s="1"/>
  <c r="K34" i="3" a="1"/>
  <c r="K34" i="3" s="1"/>
  <c r="J29" i="3" a="1"/>
  <c r="J29" i="3" s="1"/>
  <c r="L23" i="3" a="1"/>
  <c r="L23" i="3" s="1"/>
  <c r="K18" i="3" a="1"/>
  <c r="K18" i="3" s="1"/>
  <c r="J13" i="3" a="1"/>
  <c r="J13" i="3" s="1"/>
  <c r="L7" i="3" a="1"/>
  <c r="L7" i="3" s="1"/>
  <c r="L35" i="3" a="1"/>
  <c r="L35" i="3" s="1"/>
  <c r="J25" i="3" a="1"/>
  <c r="J25" i="3" s="1"/>
  <c r="K15" i="3" a="1"/>
  <c r="K15" i="3" s="1"/>
  <c r="K29" i="3" a="1"/>
  <c r="K29" i="3" s="1"/>
  <c r="J35" i="3" a="1"/>
  <c r="J35" i="3" s="1"/>
  <c r="L29" i="3" a="1"/>
  <c r="L29" i="3" s="1"/>
  <c r="K24" i="3" a="1"/>
  <c r="K24" i="3" s="1"/>
  <c r="J19" i="3" a="1"/>
  <c r="J19" i="3" s="1"/>
  <c r="L13" i="3" a="1"/>
  <c r="L13" i="3" s="1"/>
  <c r="K8" i="3" a="1"/>
  <c r="K8" i="3" s="1"/>
  <c r="J3" i="3" a="1"/>
  <c r="J3" i="3" s="1"/>
  <c r="C7" i="3" a="1"/>
  <c r="C7" i="3" s="1"/>
  <c r="C30" i="3" a="1"/>
  <c r="C30" i="3" s="1"/>
  <c r="C29" i="3" a="1"/>
  <c r="C29" i="3" s="1"/>
  <c r="C27" i="3" a="1"/>
  <c r="C27" i="3" s="1"/>
  <c r="C23" i="3" a="1"/>
  <c r="C23" i="3" s="1"/>
  <c r="C33" i="3" a="1"/>
  <c r="C33" i="3" s="1"/>
  <c r="C32" i="3" a="1"/>
  <c r="C32" i="3" s="1"/>
  <c r="C14" i="3" a="1"/>
  <c r="C14" i="3" s="1"/>
  <c r="C5" i="3" a="1"/>
  <c r="C5" i="3" s="1"/>
  <c r="C17" i="3" a="1"/>
  <c r="C17" i="3" s="1"/>
  <c r="C34" i="3" a="1"/>
  <c r="C34" i="3" s="1"/>
  <c r="C12" i="3" a="1"/>
  <c r="C12" i="3" s="1"/>
  <c r="C18" i="3" a="1"/>
  <c r="C18" i="3" s="1"/>
  <c r="C28" i="3" a="1"/>
  <c r="C28" i="3" s="1"/>
  <c r="C24" i="3" a="1"/>
  <c r="C24" i="3" s="1"/>
  <c r="C11" i="3" a="1"/>
  <c r="C11" i="3" s="1"/>
  <c r="C31" i="3" a="1"/>
  <c r="C31" i="3" s="1"/>
  <c r="C15" i="3" a="1"/>
  <c r="C15" i="3" s="1"/>
  <c r="C21" i="3" a="1"/>
  <c r="C21" i="3" s="1"/>
  <c r="C25" i="3" a="1"/>
  <c r="C25" i="3" s="1"/>
  <c r="C9" i="3" a="1"/>
  <c r="C9" i="3" s="1"/>
  <c r="C13" i="3" a="1"/>
  <c r="C13" i="3" s="1"/>
  <c r="C22" i="3" a="1"/>
  <c r="C22" i="3" s="1"/>
  <c r="H2" i="3" a="1"/>
  <c r="H2" i="3" s="1"/>
  <c r="C2" i="3" a="1"/>
  <c r="C2" i="3" s="1"/>
  <c r="C16" i="3" a="1"/>
  <c r="C16" i="3" s="1"/>
  <c r="C26" i="3" a="1"/>
  <c r="C26" i="3" s="1"/>
  <c r="C10" i="3" a="1"/>
  <c r="C10" i="3" s="1"/>
  <c r="C8" i="3" a="1"/>
  <c r="C8" i="3" s="1"/>
  <c r="C20" i="3" a="1"/>
  <c r="C20" i="3" s="1"/>
  <c r="C4" i="3" a="1"/>
  <c r="C4" i="3" s="1"/>
  <c r="C35" i="3" a="1"/>
  <c r="C35" i="3" s="1"/>
  <c r="C19" i="3" a="1"/>
  <c r="C19" i="3" s="1"/>
  <c r="C3" i="3" a="1"/>
  <c r="C3" i="3" s="1"/>
  <c r="I32" i="3" a="1"/>
  <c r="I32" i="3" s="1"/>
  <c r="G21" i="3" a="1"/>
  <c r="G21" i="3" s="1"/>
  <c r="E14" i="3" a="1"/>
  <c r="E14" i="3" s="1"/>
  <c r="H28" i="3" a="1"/>
  <c r="H28" i="3" s="1"/>
  <c r="G23" i="3" a="1"/>
  <c r="G23" i="3" s="1"/>
  <c r="H13" i="3" a="1"/>
  <c r="H13" i="3" s="1"/>
  <c r="G29" i="3" a="1"/>
  <c r="G29" i="3" s="1"/>
  <c r="I18" i="3" a="1"/>
  <c r="I18" i="3" s="1"/>
  <c r="I10" i="3" a="1"/>
  <c r="I10" i="3" s="1"/>
  <c r="H22" i="3" a="1"/>
  <c r="H22" i="3" s="1"/>
  <c r="G32" i="3" a="1"/>
  <c r="G32" i="3" s="1"/>
  <c r="I30" i="3" a="1"/>
  <c r="I30" i="3" s="1"/>
  <c r="D5" i="3" a="1"/>
  <c r="D5" i="3" s="1"/>
  <c r="F28" i="3" a="1"/>
  <c r="F28" i="3" s="1"/>
  <c r="F18" i="3" a="1"/>
  <c r="F18" i="3" s="1"/>
  <c r="I27" i="3" a="1"/>
  <c r="I27" i="3" s="1"/>
  <c r="E18" i="3" a="1"/>
  <c r="E18" i="3" s="1"/>
  <c r="H35" i="3" a="1"/>
  <c r="H35" i="3" s="1"/>
  <c r="H26" i="3" a="1"/>
  <c r="H26" i="3" s="1"/>
  <c r="F19" i="3" a="1"/>
  <c r="F19" i="3" s="1"/>
  <c r="G35" i="3" a="1"/>
  <c r="G35" i="3" s="1"/>
  <c r="H12" i="3" a="1"/>
  <c r="H12" i="3" s="1"/>
  <c r="E23" i="3" a="1"/>
  <c r="E23" i="3" s="1"/>
  <c r="H20" i="3" a="1"/>
  <c r="H20" i="3" s="1"/>
  <c r="I17" i="3" a="1"/>
  <c r="I17" i="3" s="1"/>
  <c r="D10" i="3" a="1"/>
  <c r="D10" i="3" s="1"/>
  <c r="H6" i="3" a="1"/>
  <c r="H6" i="3" s="1"/>
  <c r="I12" i="3" a="1"/>
  <c r="I12" i="3" s="1"/>
  <c r="E32" i="3" a="1"/>
  <c r="E32" i="3" s="1"/>
  <c r="G34" i="3" a="1"/>
  <c r="G34" i="3" s="1"/>
  <c r="E29" i="3" a="1"/>
  <c r="E29" i="3" s="1"/>
  <c r="G24" i="3" a="1"/>
  <c r="G24" i="3" s="1"/>
  <c r="I21" i="3" a="1"/>
  <c r="I21" i="3" s="1"/>
  <c r="H16" i="3" a="1"/>
  <c r="H16" i="3" s="1"/>
  <c r="F11" i="3" a="1"/>
  <c r="F11" i="3" s="1"/>
  <c r="D17" i="3" a="1"/>
  <c r="D17" i="3" s="1"/>
  <c r="E11" i="3" a="1"/>
  <c r="E11" i="3" s="1"/>
  <c r="G25" i="3" a="1"/>
  <c r="G25" i="3" s="1"/>
  <c r="F34" i="3" a="1"/>
  <c r="F34" i="3" s="1"/>
  <c r="G26" i="3" a="1"/>
  <c r="G26" i="3" s="1"/>
  <c r="D21" i="3" a="1"/>
  <c r="D21" i="3" s="1"/>
  <c r="F17" i="3" a="1"/>
  <c r="F17" i="3" s="1"/>
  <c r="G14" i="3" a="1"/>
  <c r="G14" i="3" s="1"/>
  <c r="F32" i="3" a="1"/>
  <c r="F32" i="3" s="1"/>
  <c r="H32" i="3" a="1"/>
  <c r="H32" i="3" s="1"/>
  <c r="D34" i="3" a="1"/>
  <c r="D34" i="3" s="1"/>
  <c r="E28" i="3" a="1"/>
  <c r="E28" i="3" s="1"/>
  <c r="H25" i="3" a="1"/>
  <c r="H25" i="3" s="1"/>
  <c r="F22" i="3" a="1"/>
  <c r="F22" i="3" s="1"/>
  <c r="H19" i="3" a="1"/>
  <c r="H19" i="3" s="1"/>
  <c r="E10" i="3" a="1"/>
  <c r="E10" i="3" s="1"/>
  <c r="D7" i="3" a="1"/>
  <c r="D7" i="3" s="1"/>
  <c r="G10" i="3" a="1"/>
  <c r="G10" i="3" s="1"/>
  <c r="E6" i="3" a="1"/>
  <c r="E6" i="3" s="1"/>
  <c r="H34" i="3" a="1"/>
  <c r="H34" i="3" s="1"/>
  <c r="G27" i="3" a="1"/>
  <c r="G27" i="3" s="1"/>
  <c r="I24" i="3" a="1"/>
  <c r="I24" i="3" s="1"/>
  <c r="E20" i="3" a="1"/>
  <c r="E20" i="3" s="1"/>
  <c r="H14" i="3" a="1"/>
  <c r="H14" i="3" s="1"/>
  <c r="G4" i="3" a="1"/>
  <c r="G4" i="3" s="1"/>
  <c r="D3" i="3" a="1"/>
  <c r="D3" i="3" s="1"/>
  <c r="D13" i="3" a="1"/>
  <c r="D13" i="3" s="1"/>
  <c r="E35" i="3" a="1"/>
  <c r="E35" i="3" s="1"/>
  <c r="E24" i="3" a="1"/>
  <c r="E24" i="3" s="1"/>
  <c r="E31" i="3" a="1"/>
  <c r="E31" i="3" s="1"/>
  <c r="G20" i="3" a="1"/>
  <c r="G20" i="3" s="1"/>
  <c r="F16" i="3" a="1"/>
  <c r="F16" i="3" s="1"/>
  <c r="F29" i="3" a="1"/>
  <c r="F29" i="3" s="1"/>
  <c r="I35" i="3" a="1"/>
  <c r="I35" i="3" s="1"/>
  <c r="H29" i="3" a="1"/>
  <c r="H29" i="3" s="1"/>
  <c r="D31" i="3" a="1"/>
  <c r="D31" i="3" s="1"/>
  <c r="D30" i="3" a="1"/>
  <c r="D30" i="3" s="1"/>
  <c r="D27" i="3" a="1"/>
  <c r="D27" i="3" s="1"/>
  <c r="F25" i="3" a="1"/>
  <c r="F25" i="3" s="1"/>
  <c r="H21" i="3" a="1"/>
  <c r="H21" i="3" s="1"/>
  <c r="G18" i="3" a="1"/>
  <c r="G18" i="3" s="1"/>
  <c r="D12" i="3" a="1"/>
  <c r="D12" i="3" s="1"/>
  <c r="F12" i="3" a="1"/>
  <c r="F12" i="3" s="1"/>
  <c r="I13" i="3" a="1"/>
  <c r="I13" i="3" s="1"/>
  <c r="E33" i="3" a="1"/>
  <c r="E33" i="3" s="1"/>
  <c r="H30" i="3" a="1"/>
  <c r="H30" i="3" s="1"/>
  <c r="F31" i="3" a="1"/>
  <c r="F31" i="3" s="1"/>
  <c r="F23" i="3" a="1"/>
  <c r="F23" i="3" s="1"/>
  <c r="H7" i="3" a="1"/>
  <c r="H7" i="3" s="1"/>
  <c r="D16" i="3" a="1"/>
  <c r="D16" i="3" s="1"/>
  <c r="D14" i="3" a="1"/>
  <c r="D14" i="3" s="1"/>
  <c r="I14" i="3" a="1"/>
  <c r="I14" i="3" s="1"/>
  <c r="I11" i="3" a="1"/>
  <c r="I11" i="3" s="1"/>
  <c r="F33" i="3" a="1"/>
  <c r="F33" i="3" s="1"/>
  <c r="D20" i="3" a="1"/>
  <c r="D20" i="3" s="1"/>
  <c r="E30" i="3" a="1"/>
  <c r="E30" i="3" s="1"/>
  <c r="F24" i="3" a="1"/>
  <c r="F24" i="3" s="1"/>
  <c r="F14" i="3" a="1"/>
  <c r="F14" i="3" s="1"/>
  <c r="Z2" i="3" a="1"/>
  <c r="Z2" i="3" s="1"/>
  <c r="F5" i="3" a="1"/>
  <c r="F5" i="3" s="1"/>
  <c r="I3" i="3" a="1"/>
  <c r="I3" i="3" s="1"/>
  <c r="E3" i="3" a="1"/>
  <c r="E3" i="3" s="1"/>
  <c r="H8" i="3" a="1"/>
  <c r="H8" i="3" s="1"/>
  <c r="I4" i="3" a="1"/>
  <c r="I4" i="3" s="1"/>
  <c r="E7" i="3" a="1"/>
  <c r="E7" i="3" s="1"/>
  <c r="F6" i="3" a="1"/>
  <c r="F6" i="3" s="1"/>
  <c r="G9" i="3" a="1"/>
  <c r="G9" i="3" s="1"/>
  <c r="D4" i="3" a="1"/>
  <c r="D4" i="3" s="1"/>
  <c r="E13" i="3" a="1"/>
  <c r="E13" i="3" s="1"/>
  <c r="G30" i="3" a="1"/>
  <c r="G30" i="3" s="1"/>
  <c r="F35" i="3" a="1"/>
  <c r="F35" i="3" s="1"/>
  <c r="F27" i="3" a="1"/>
  <c r="F27" i="3" s="1"/>
  <c r="D35" i="3" a="1"/>
  <c r="D35" i="3" s="1"/>
  <c r="H33" i="3" a="1"/>
  <c r="H33" i="3" s="1"/>
  <c r="I31" i="3" a="1"/>
  <c r="I31" i="3" s="1"/>
  <c r="G28" i="3" a="1"/>
  <c r="G28" i="3" s="1"/>
  <c r="F26" i="3" a="1"/>
  <c r="F26" i="3" s="1"/>
  <c r="H24" i="3" a="1"/>
  <c r="H24" i="3" s="1"/>
  <c r="E22" i="3" a="1"/>
  <c r="E22" i="3" s="1"/>
  <c r="G19" i="3" a="1"/>
  <c r="G19" i="3" s="1"/>
  <c r="G16" i="3" a="1"/>
  <c r="G16" i="3" s="1"/>
  <c r="G15" i="3" a="1"/>
  <c r="G15" i="3" s="1"/>
  <c r="H4" i="3" a="1"/>
  <c r="H4" i="3" s="1"/>
  <c r="F4" i="3" a="1"/>
  <c r="F4" i="3" s="1"/>
  <c r="E4" i="3" a="1"/>
  <c r="E4" i="3" s="1"/>
  <c r="G33" i="3" a="1"/>
  <c r="G33" i="3" s="1"/>
  <c r="H31" i="3" a="1"/>
  <c r="H31" i="3" s="1"/>
  <c r="F2" i="3" a="1"/>
  <c r="F2" i="3" s="1"/>
  <c r="D28" i="3" a="1"/>
  <c r="D28" i="3" s="1"/>
  <c r="D25" i="3" a="1"/>
  <c r="D25" i="3" s="1"/>
  <c r="D22" i="3" a="1"/>
  <c r="D22" i="3" s="1"/>
  <c r="E17" i="3" a="1"/>
  <c r="E17" i="3" s="1"/>
  <c r="D6" i="3" a="1"/>
  <c r="D6" i="3" s="1"/>
  <c r="G5" i="3" a="1"/>
  <c r="G5" i="3" s="1"/>
  <c r="F15" i="3" a="1"/>
  <c r="F15" i="3" s="1"/>
  <c r="D11" i="3" a="1"/>
  <c r="D11" i="3" s="1"/>
  <c r="H10" i="3" a="1"/>
  <c r="H10" i="3" s="1"/>
  <c r="F30" i="3" a="1"/>
  <c r="F30" i="3" s="1"/>
  <c r="H23" i="3" a="1"/>
  <c r="H23" i="3" s="1"/>
  <c r="D32" i="3" a="1"/>
  <c r="D32" i="3" s="1"/>
  <c r="H27" i="3" a="1"/>
  <c r="H27" i="3" s="1"/>
  <c r="D19" i="3" a="1"/>
  <c r="D19" i="3" s="1"/>
  <c r="F8" i="3" a="1"/>
  <c r="F8" i="3" s="1"/>
  <c r="D15" i="3" a="1"/>
  <c r="D15" i="3" s="1"/>
  <c r="I33" i="3" a="1"/>
  <c r="I33" i="3" s="1"/>
  <c r="I28" i="3" a="1"/>
  <c r="I28" i="3" s="1"/>
  <c r="F21" i="3" a="1"/>
  <c r="F21" i="3" s="1"/>
  <c r="E19" i="3" a="1"/>
  <c r="E19" i="3" s="1"/>
  <c r="H9" i="3" a="1"/>
  <c r="H9" i="3" s="1"/>
  <c r="E27" i="3" a="1"/>
  <c r="E27" i="3" s="1"/>
  <c r="I22" i="3" a="1"/>
  <c r="I22" i="3" s="1"/>
  <c r="D33" i="3" a="1"/>
  <c r="D33" i="3" s="1"/>
  <c r="I29" i="3" a="1"/>
  <c r="I29" i="3" s="1"/>
  <c r="I26" i="3" a="1"/>
  <c r="I26" i="3" s="1"/>
  <c r="I23" i="3" a="1"/>
  <c r="I23" i="3" s="1"/>
  <c r="I20" i="3" a="1"/>
  <c r="I20" i="3" s="1"/>
  <c r="H15" i="3" a="1"/>
  <c r="H15" i="3" s="1"/>
  <c r="E15" i="3" a="1"/>
  <c r="E15" i="3" s="1"/>
  <c r="H11" i="3" a="1"/>
  <c r="H11" i="3" s="1"/>
  <c r="E34" i="3" a="1"/>
  <c r="E34" i="3" s="1"/>
  <c r="E12" i="3" a="1"/>
  <c r="E12" i="3" s="1"/>
  <c r="G31" i="3" a="1"/>
  <c r="G31" i="3" s="1"/>
  <c r="E26" i="3" a="1"/>
  <c r="E26" i="3" s="1"/>
  <c r="D18" i="3" a="1"/>
  <c r="D18" i="3" s="1"/>
  <c r="E25" i="3" a="1"/>
  <c r="E25" i="3" s="1"/>
  <c r="G11" i="3" a="1"/>
  <c r="G11" i="3" s="1"/>
  <c r="D24" i="3" a="1"/>
  <c r="D24" i="3" s="1"/>
  <c r="D23" i="3" a="1"/>
  <c r="D23" i="3" s="1"/>
  <c r="F13" i="3" a="1"/>
  <c r="F13" i="3" s="1"/>
  <c r="F7" i="3" a="1"/>
  <c r="F7" i="3" s="1"/>
  <c r="I6" i="3" a="1"/>
  <c r="I6" i="3" s="1"/>
  <c r="H3" i="3" a="1"/>
  <c r="H3" i="3" s="1"/>
  <c r="I9" i="3" a="1"/>
  <c r="I9" i="3" s="1"/>
  <c r="G8" i="3" a="1"/>
  <c r="G8" i="3" s="1"/>
  <c r="H5" i="3" a="1"/>
  <c r="H5" i="3" s="1"/>
  <c r="G6" i="3" a="1"/>
  <c r="G6" i="3" s="1"/>
  <c r="G3" i="3" a="1"/>
  <c r="G3" i="3" s="1"/>
  <c r="F3" i="3" a="1"/>
  <c r="F3" i="3" s="1"/>
  <c r="N2" i="3"/>
  <c r="H17" i="3" a="1"/>
  <c r="H17" i="3" s="1"/>
  <c r="G12" i="3" a="1"/>
  <c r="G12" i="3" s="1"/>
  <c r="D26" i="3" a="1"/>
  <c r="D26" i="3" s="1"/>
  <c r="I5" i="3" a="1"/>
  <c r="I5" i="3" s="1"/>
  <c r="F20" i="3" a="1"/>
  <c r="F20" i="3" s="1"/>
  <c r="I34" i="3" a="1"/>
  <c r="I34" i="3" s="1"/>
  <c r="I19" i="3" a="1"/>
  <c r="I19" i="3" s="1"/>
  <c r="D9" i="3" a="1"/>
  <c r="D9" i="3" s="1"/>
  <c r="E8" i="3" a="1"/>
  <c r="E8" i="3" s="1"/>
  <c r="E2" i="3" a="1"/>
  <c r="E2" i="3" s="1"/>
  <c r="G7" i="3" a="1"/>
  <c r="G7" i="3" s="1"/>
  <c r="I25" i="3" a="1"/>
  <c r="I25" i="3" s="1"/>
  <c r="I2" i="3" a="1"/>
  <c r="I2" i="3" s="1"/>
  <c r="G17" i="3" a="1"/>
  <c r="G17" i="3" s="1"/>
  <c r="G13" i="3" a="1"/>
  <c r="G13" i="3" s="1"/>
  <c r="E5" i="3" a="1"/>
  <c r="E5" i="3" s="1"/>
  <c r="D8" i="3" a="1"/>
  <c r="D8" i="3" s="1"/>
  <c r="D29" i="3" a="1"/>
  <c r="D29" i="3" s="1"/>
  <c r="G22" i="3" a="1"/>
  <c r="G22" i="3" s="1"/>
  <c r="J2" i="3" a="1"/>
  <c r="J2" i="3" s="1"/>
  <c r="D2" i="3" a="1"/>
  <c r="D2" i="3" s="1"/>
  <c r="F9" i="3" a="1"/>
  <c r="F9" i="3" s="1"/>
  <c r="I15" i="3" a="1"/>
  <c r="I15" i="3" s="1"/>
  <c r="H18" i="3" a="1"/>
  <c r="H18" i="3" s="1"/>
  <c r="E21" i="3" a="1"/>
  <c r="E21" i="3" s="1"/>
  <c r="G2" i="3" a="1"/>
  <c r="G2" i="3" s="1"/>
  <c r="I8" i="3" a="1"/>
  <c r="I8" i="3" s="1"/>
  <c r="E9" i="3" a="1"/>
  <c r="E9" i="3" s="1"/>
  <c r="I16" i="3" a="1"/>
  <c r="I16" i="3" s="1"/>
  <c r="E16" i="3" a="1"/>
  <c r="E16" i="3" s="1"/>
  <c r="I7" i="3" a="1"/>
  <c r="I7" i="3" s="1"/>
  <c r="O2" i="3" l="1"/>
  <c r="C3" i="5" s="1"/>
  <c r="W2" i="3"/>
  <c r="C10" i="5" s="1"/>
  <c r="X2" i="3"/>
  <c r="C11" i="5" s="1"/>
  <c r="T2" i="3"/>
  <c r="C7" i="5" s="1"/>
  <c r="Q2" i="3"/>
  <c r="R2" i="3"/>
  <c r="C5" i="5" s="1"/>
  <c r="V2" i="3"/>
  <c r="C9" i="5" s="1"/>
  <c r="P2" i="3"/>
  <c r="S2" i="3"/>
  <c r="C6" i="5" s="1"/>
  <c r="U2" i="3"/>
  <c r="C8" i="5" s="1"/>
  <c r="C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<sst xmlns="http://schemas.openxmlformats.org/spreadsheetml/2006/main" count="1045" uniqueCount="584">
  <si>
    <t>Instructions:</t>
  </si>
  <si>
    <t>fullname</t>
  </si>
  <si>
    <t>name</t>
  </si>
  <si>
    <t>manufacturer</t>
  </si>
  <si>
    <t>hardwareType</t>
  </si>
  <si>
    <t>releaseYear</t>
  </si>
  <si>
    <t>systemsortname</t>
  </si>
  <si>
    <t>Acorn Archimedes</t>
  </si>
  <si>
    <t>archimedes</t>
  </si>
  <si>
    <t>Acorn</t>
  </si>
  <si>
    <t>Computer</t>
  </si>
  <si>
    <t>1987</t>
  </si>
  <si>
    <t>Acorn Electron</t>
  </si>
  <si>
    <t>electron</t>
  </si>
  <si>
    <t>1983</t>
  </si>
  <si>
    <t>Acorn Computers BBC Micro</t>
  </si>
  <si>
    <t>bbcmicro</t>
  </si>
  <si>
    <t>Acorn Computers</t>
  </si>
  <si>
    <t>1981</t>
  </si>
  <si>
    <t>Adobe Flash</t>
  </si>
  <si>
    <t>flash</t>
  </si>
  <si>
    <t>Adobe</t>
  </si>
  <si>
    <t>Engine</t>
  </si>
  <si>
    <t>1996</t>
  </si>
  <si>
    <t>AdvanceMAME</t>
  </si>
  <si>
    <t>mame-advmame</t>
  </si>
  <si>
    <t>Emulator</t>
  </si>
  <si>
    <t>1998</t>
  </si>
  <si>
    <t>Amstrad CPC</t>
  </si>
  <si>
    <t>amstradcpc</t>
  </si>
  <si>
    <t>Amstrad</t>
  </si>
  <si>
    <t>1984</t>
  </si>
  <si>
    <t>Amstrad GX4000</t>
  </si>
  <si>
    <t>gx4000</t>
  </si>
  <si>
    <t>Console</t>
  </si>
  <si>
    <t>1990</t>
  </si>
  <si>
    <t>Apple II</t>
  </si>
  <si>
    <t>apple2</t>
  </si>
  <si>
    <t>Apple</t>
  </si>
  <si>
    <t>1977</t>
  </si>
  <si>
    <t>Apple IIGS</t>
  </si>
  <si>
    <t>apple2gs</t>
  </si>
  <si>
    <t>1986</t>
  </si>
  <si>
    <t>Apple Macintosh</t>
  </si>
  <si>
    <t>macintosh</t>
  </si>
  <si>
    <t>Arcade</t>
  </si>
  <si>
    <t>arcade</t>
  </si>
  <si>
    <t>0000</t>
  </si>
  <si>
    <t>FinalBurn Alpha</t>
  </si>
  <si>
    <t>fba</t>
  </si>
  <si>
    <t>2000</t>
  </si>
  <si>
    <t>FinalBurn Neo</t>
  </si>
  <si>
    <t>fbneo</t>
  </si>
  <si>
    <t>2002</t>
  </si>
  <si>
    <t>Atari 800</t>
  </si>
  <si>
    <t>atari800</t>
  </si>
  <si>
    <t>Atari</t>
  </si>
  <si>
    <t>1979</t>
  </si>
  <si>
    <t>Atari 2600</t>
  </si>
  <si>
    <t>atari2600</t>
  </si>
  <si>
    <t>Atari 5200</t>
  </si>
  <si>
    <t>atari5200</t>
  </si>
  <si>
    <t>1982</t>
  </si>
  <si>
    <t>Atari 7800 ProSystem</t>
  </si>
  <si>
    <t>atari7800</t>
  </si>
  <si>
    <t>Atari Jaguar</t>
  </si>
  <si>
    <t>atarijaguar</t>
  </si>
  <si>
    <t>1993</t>
  </si>
  <si>
    <t>Atari Jaguar CD</t>
  </si>
  <si>
    <t>atarijaguarcd</t>
  </si>
  <si>
    <t>1995</t>
  </si>
  <si>
    <t>Atari Lynx</t>
  </si>
  <si>
    <t>atarilynx</t>
  </si>
  <si>
    <t>Portable</t>
  </si>
  <si>
    <t>1989</t>
  </si>
  <si>
    <t>Atari ST</t>
  </si>
  <si>
    <t>atarist</t>
  </si>
  <si>
    <t>1985</t>
  </si>
  <si>
    <t>Atari XE</t>
  </si>
  <si>
    <t>atarixe</t>
  </si>
  <si>
    <t>Bally Astrocade</t>
  </si>
  <si>
    <t>astrocade</t>
  </si>
  <si>
    <t>Bally</t>
  </si>
  <si>
    <t>Bandai SuFami Turbo</t>
  </si>
  <si>
    <t>sufami</t>
  </si>
  <si>
    <t>Bandai</t>
  </si>
  <si>
    <t>Peripheral</t>
  </si>
  <si>
    <t>Bandai WonderSwan</t>
  </si>
  <si>
    <t>wonderswan</t>
  </si>
  <si>
    <t>1999</t>
  </si>
  <si>
    <t>Bandai WonderSwan Color</t>
  </si>
  <si>
    <t>wonderswancolor</t>
  </si>
  <si>
    <t>Uzebox Open Source Console</t>
  </si>
  <si>
    <t>uzebox</t>
  </si>
  <si>
    <t>Belogic Software</t>
  </si>
  <si>
    <t>2008</t>
  </si>
  <si>
    <t>Gamate</t>
  </si>
  <si>
    <t>gamate</t>
  </si>
  <si>
    <t>Bit Corporation</t>
  </si>
  <si>
    <t>WASM-4 Fantasy Console</t>
  </si>
  <si>
    <t>wasm4</t>
  </si>
  <si>
    <t>Bruno Garcia</t>
  </si>
  <si>
    <t>2022</t>
  </si>
  <si>
    <t>Capcom Play System</t>
  </si>
  <si>
    <t>cps</t>
  </si>
  <si>
    <t>Capcom</t>
  </si>
  <si>
    <t>1988</t>
  </si>
  <si>
    <t>Capcom Play System I</t>
  </si>
  <si>
    <t>cps1</t>
  </si>
  <si>
    <t>Capcom Play System II</t>
  </si>
  <si>
    <t>cps2</t>
  </si>
  <si>
    <t>Capcom Play System III</t>
  </si>
  <si>
    <t>cps3</t>
  </si>
  <si>
    <t>Casio PV-1000</t>
  </si>
  <si>
    <t>pv1000</t>
  </si>
  <si>
    <t>Casio</t>
  </si>
  <si>
    <t>ChaiLove Game Engine</t>
  </si>
  <si>
    <t>chailove</t>
  </si>
  <si>
    <t>ChaiLove Team</t>
  </si>
  <si>
    <t>2017</t>
  </si>
  <si>
    <t>Adventure Game Studio Game Engine</t>
  </si>
  <si>
    <t>ags</t>
  </si>
  <si>
    <t>Chris Jones</t>
  </si>
  <si>
    <t>1997</t>
  </si>
  <si>
    <t>Future Pinball</t>
  </si>
  <si>
    <t>fpinball</t>
  </si>
  <si>
    <t>Christopher Leathley</t>
  </si>
  <si>
    <t>2005</t>
  </si>
  <si>
    <t>Solarus Game Engine</t>
  </si>
  <si>
    <t>solarus</t>
  </si>
  <si>
    <t>Christopho</t>
  </si>
  <si>
    <t>2021</t>
  </si>
  <si>
    <t>Coleco Adam</t>
  </si>
  <si>
    <t>adam</t>
  </si>
  <si>
    <t>Coleco</t>
  </si>
  <si>
    <t>Coleco ColecoVision</t>
  </si>
  <si>
    <t>colecovision</t>
  </si>
  <si>
    <t>Commodore Amiga</t>
  </si>
  <si>
    <t>amiga</t>
  </si>
  <si>
    <t>Commodore</t>
  </si>
  <si>
    <t>Commodore Amiga 600</t>
  </si>
  <si>
    <t>amiga600</t>
  </si>
  <si>
    <t>Commodore Amiga 1200</t>
  </si>
  <si>
    <t>amiga1200</t>
  </si>
  <si>
    <t>Commodore Amiga CD32</t>
  </si>
  <si>
    <t>amigacd32</t>
  </si>
  <si>
    <t>Commodore 64</t>
  </si>
  <si>
    <t>c64</t>
  </si>
  <si>
    <t>Commodore CDTV</t>
  </si>
  <si>
    <t>cdtv</t>
  </si>
  <si>
    <t>1991</t>
  </si>
  <si>
    <t>Commodore Plus/4</t>
  </si>
  <si>
    <t>plus4</t>
  </si>
  <si>
    <t>Commodore VIC-20</t>
  </si>
  <si>
    <t>vic20</t>
  </si>
  <si>
    <t>1980</t>
  </si>
  <si>
    <t>Creatronic Mega Duck</t>
  </si>
  <si>
    <t>megaduck</t>
  </si>
  <si>
    <t>Creatronic</t>
  </si>
  <si>
    <t>Dragon Data Dragon 32</t>
  </si>
  <si>
    <t>dragon32</t>
  </si>
  <si>
    <t>Dragon Data, Ltd.</t>
  </si>
  <si>
    <t>EasyRPG Game Engine</t>
  </si>
  <si>
    <t>easyrpg</t>
  </si>
  <si>
    <t>EasyRPG Team</t>
  </si>
  <si>
    <t>2007</t>
  </si>
  <si>
    <t>M.U.G.E.N Game Engine</t>
  </si>
  <si>
    <t>mugen</t>
  </si>
  <si>
    <t>Elecbyte</t>
  </si>
  <si>
    <t>Emerson Arcadia 2001</t>
  </si>
  <si>
    <t>arcadia</t>
  </si>
  <si>
    <t>Emerson</t>
  </si>
  <si>
    <t>Epic Games Store</t>
  </si>
  <si>
    <t>epic</t>
  </si>
  <si>
    <t>Epic</t>
  </si>
  <si>
    <t>Collection</t>
  </si>
  <si>
    <t>2018</t>
  </si>
  <si>
    <t>Super Cassette Vision</t>
  </si>
  <si>
    <t>scv</t>
  </si>
  <si>
    <t>Epoch Co.</t>
  </si>
  <si>
    <t>Fairchild Channel F</t>
  </si>
  <si>
    <t>channelf</t>
  </si>
  <si>
    <t>Fairchild</t>
  </si>
  <si>
    <t>1976</t>
  </si>
  <si>
    <t>FM-7</t>
  </si>
  <si>
    <t>fm7</t>
  </si>
  <si>
    <t>Fujitsu</t>
  </si>
  <si>
    <t>Fujitsu FM Towns</t>
  </si>
  <si>
    <t>fmtowns</t>
  </si>
  <si>
    <t>Super A'can</t>
  </si>
  <si>
    <t>supracan</t>
  </si>
  <si>
    <t>Funtech</t>
  </si>
  <si>
    <t>Google Android</t>
  </si>
  <si>
    <t>android</t>
  </si>
  <si>
    <t>Google</t>
  </si>
  <si>
    <t>OS</t>
  </si>
  <si>
    <t>Game Master</t>
  </si>
  <si>
    <t>gmaster</t>
  </si>
  <si>
    <t>Hartung</t>
  </si>
  <si>
    <t>IBM PC</t>
  </si>
  <si>
    <t>pc</t>
  </si>
  <si>
    <t>IBM</t>
  </si>
  <si>
    <t>Doom</t>
  </si>
  <si>
    <t>doom</t>
  </si>
  <si>
    <t>id Software</t>
  </si>
  <si>
    <t>Quake</t>
  </si>
  <si>
    <t>quake</t>
  </si>
  <si>
    <t>Infocom Z-machine</t>
  </si>
  <si>
    <t>zmachine</t>
  </si>
  <si>
    <t>Infocom</t>
  </si>
  <si>
    <t>Arduboy Miniature Game System</t>
  </si>
  <si>
    <t>arduboy</t>
  </si>
  <si>
    <t>Kevin Bates</t>
  </si>
  <si>
    <t>2015</t>
  </si>
  <si>
    <t>PICO-8 Fantasy Console</t>
  </si>
  <si>
    <t>pico8</t>
  </si>
  <si>
    <t>Lexaloffle</t>
  </si>
  <si>
    <t>Lutro Game Engine</t>
  </si>
  <si>
    <t>lutro</t>
  </si>
  <si>
    <t>libretro</t>
  </si>
  <si>
    <t>Magnavox Odyssey2</t>
  </si>
  <si>
    <t>odyssey2</t>
  </si>
  <si>
    <t>Magnavox</t>
  </si>
  <si>
    <t>1978</t>
  </si>
  <si>
    <t>Multiple Arcade Machine Emulator</t>
  </si>
  <si>
    <t>mame</t>
  </si>
  <si>
    <t>MAME Team</t>
  </si>
  <si>
    <t>Lutris Open Gaming Platform</t>
  </si>
  <si>
    <t>lutris</t>
  </si>
  <si>
    <t>Mathieu Comandon</t>
  </si>
  <si>
    <t>2010</t>
  </si>
  <si>
    <t>Daphne Arcade LaserDisc Emulator</t>
  </si>
  <si>
    <t>daphne</t>
  </si>
  <si>
    <t>Matt Ownby</t>
  </si>
  <si>
    <t>Mattel Electronics Intellivision</t>
  </si>
  <si>
    <t>intellivision</t>
  </si>
  <si>
    <t>Mattel</t>
  </si>
  <si>
    <t>Multi Emulator Super System</t>
  </si>
  <si>
    <t>mess</t>
  </si>
  <si>
    <t>MESS Team</t>
  </si>
  <si>
    <t>MGT SAM Coupé</t>
  </si>
  <si>
    <t>samcoupe</t>
  </si>
  <si>
    <t>MGT</t>
  </si>
  <si>
    <t>DOS (PC)</t>
  </si>
  <si>
    <t>dos</t>
  </si>
  <si>
    <t>Microsoft</t>
  </si>
  <si>
    <t>MSX</t>
  </si>
  <si>
    <t>msx</t>
  </si>
  <si>
    <t>MSX1</t>
  </si>
  <si>
    <t>msx1</t>
  </si>
  <si>
    <t>MSX2</t>
  </si>
  <si>
    <t>msx2</t>
  </si>
  <si>
    <t>MSX Turbo R</t>
  </si>
  <si>
    <t>msxturbor</t>
  </si>
  <si>
    <t>Microsoft Windows</t>
  </si>
  <si>
    <t>windows</t>
  </si>
  <si>
    <t>Windows 3.X</t>
  </si>
  <si>
    <t>windows3x</t>
  </si>
  <si>
    <t>1992</t>
  </si>
  <si>
    <t>Windows 9X</t>
  </si>
  <si>
    <t>windows9x</t>
  </si>
  <si>
    <t>Microsoft Xbox</t>
  </si>
  <si>
    <t>xbox</t>
  </si>
  <si>
    <t>2001</t>
  </si>
  <si>
    <t>Microsoft Xbox 360</t>
  </si>
  <si>
    <t>xbox360</t>
  </si>
  <si>
    <t>Microsoft Xbox One</t>
  </si>
  <si>
    <t>xboxone</t>
  </si>
  <si>
    <t>2013</t>
  </si>
  <si>
    <t>NEC PC-8800 Series</t>
  </si>
  <si>
    <t>pc88</t>
  </si>
  <si>
    <t>NEC</t>
  </si>
  <si>
    <t>NEC PC-9800 Series</t>
  </si>
  <si>
    <t>pc98</t>
  </si>
  <si>
    <t>NEC PC Engine</t>
  </si>
  <si>
    <t>pcengine</t>
  </si>
  <si>
    <t>NEC PC Engine CD</t>
  </si>
  <si>
    <t>pcenginecd</t>
  </si>
  <si>
    <t>NEC PC-FX</t>
  </si>
  <si>
    <t>pcfx</t>
  </si>
  <si>
    <t>1994</t>
  </si>
  <si>
    <t>NEC SuperGrafx</t>
  </si>
  <si>
    <t>supergrafx</t>
  </si>
  <si>
    <t>NEC TurboGrafx-CD</t>
  </si>
  <si>
    <t>tg-cd</t>
  </si>
  <si>
    <t>NEC TurboGrafx-16</t>
  </si>
  <si>
    <t>tg16</t>
  </si>
  <si>
    <t>Nintendo Family Computer</t>
  </si>
  <si>
    <t>famicom</t>
  </si>
  <si>
    <t>Nintendo</t>
  </si>
  <si>
    <t>Nintendo Famicom Disk System</t>
  </si>
  <si>
    <t>fds</t>
  </si>
  <si>
    <t>Nintendo Game and Watch</t>
  </si>
  <si>
    <t>gameandwatch</t>
  </si>
  <si>
    <t>Nintendo Game Boy</t>
  </si>
  <si>
    <t>gb</t>
  </si>
  <si>
    <t>Nintendo Game Boy Advance</t>
  </si>
  <si>
    <t>gba</t>
  </si>
  <si>
    <t>Nintendo Game Boy Color</t>
  </si>
  <si>
    <t>gbc</t>
  </si>
  <si>
    <t>Nintendo GameCube</t>
  </si>
  <si>
    <t>gc</t>
  </si>
  <si>
    <t>Nintendo 3DS</t>
  </si>
  <si>
    <t>n3ds</t>
  </si>
  <si>
    <t>2011</t>
  </si>
  <si>
    <t>Nintendo 64</t>
  </si>
  <si>
    <t>n64</t>
  </si>
  <si>
    <t>Nintendo 64DD</t>
  </si>
  <si>
    <t>n64dd</t>
  </si>
  <si>
    <t>Nintendo DS</t>
  </si>
  <si>
    <t>nds</t>
  </si>
  <si>
    <t>2004</t>
  </si>
  <si>
    <t>Nintendo Entertainment System</t>
  </si>
  <si>
    <t>nes</t>
  </si>
  <si>
    <t>Nintendo Pokémon Mini</t>
  </si>
  <si>
    <t>pokemini</t>
  </si>
  <si>
    <t>Nintendo Satellaview</t>
  </si>
  <si>
    <t>satellaview</t>
  </si>
  <si>
    <t>Nintendo SFC (Super Famicom)</t>
  </si>
  <si>
    <t>sfc</t>
  </si>
  <si>
    <t>Nintendo Super Game Boy</t>
  </si>
  <si>
    <t>sgb</t>
  </si>
  <si>
    <t>Nintendo SNES (Super Nintendo)</t>
  </si>
  <si>
    <t>snes</t>
  </si>
  <si>
    <t>Nintendo SNES (Super Nintendo) [North America]</t>
  </si>
  <si>
    <t>snesna</t>
  </si>
  <si>
    <t>Nintendo Switch</t>
  </si>
  <si>
    <t>switch</t>
  </si>
  <si>
    <t>Nintendo Virtual Boy</t>
  </si>
  <si>
    <t>virtualboy</t>
  </si>
  <si>
    <t>Nintendo Wii</t>
  </si>
  <si>
    <t>wii</t>
  </si>
  <si>
    <t>2006</t>
  </si>
  <si>
    <t>Nintendo Wii U</t>
  </si>
  <si>
    <t>wiiu</t>
  </si>
  <si>
    <t>2012</t>
  </si>
  <si>
    <t>N-Gage</t>
  </si>
  <si>
    <t>ngage</t>
  </si>
  <si>
    <t>Nokia</t>
  </si>
  <si>
    <t>2003</t>
  </si>
  <si>
    <t>Java 2 Micro Edition (J2ME)</t>
  </si>
  <si>
    <t>j2me</t>
  </si>
  <si>
    <t>Oracle</t>
  </si>
  <si>
    <t>Palm OS</t>
  </si>
  <si>
    <t>palm</t>
  </si>
  <si>
    <t>Palm</t>
  </si>
  <si>
    <t>3DO Interactive Multiplayer</t>
  </si>
  <si>
    <t>3do</t>
  </si>
  <si>
    <t>Panasonic</t>
  </si>
  <si>
    <t>Philips CD-i</t>
  </si>
  <si>
    <t>cdimono1</t>
  </si>
  <si>
    <t>Philips</t>
  </si>
  <si>
    <t>Philips Videopac G7000</t>
  </si>
  <si>
    <t>videopac</t>
  </si>
  <si>
    <t>Sammy Corporation Atomiswave</t>
  </si>
  <si>
    <t>atomiswave</t>
  </si>
  <si>
    <t>Sammy</t>
  </si>
  <si>
    <t>ScummVM Game Engine</t>
  </si>
  <si>
    <t>scummvm</t>
  </si>
  <si>
    <t>ScummVM</t>
  </si>
  <si>
    <t>Sega Dreamcast</t>
  </si>
  <si>
    <t>dreamcast</t>
  </si>
  <si>
    <t>Sega</t>
  </si>
  <si>
    <t>Sega Game Gear</t>
  </si>
  <si>
    <t>gamegear</t>
  </si>
  <si>
    <t>Sega Genesis</t>
  </si>
  <si>
    <t>genesis</t>
  </si>
  <si>
    <t>Sega Master System</t>
  </si>
  <si>
    <t>mastersystem</t>
  </si>
  <si>
    <t>Sega Mark III</t>
  </si>
  <si>
    <t>mark3</t>
  </si>
  <si>
    <t>Sega Mega-CD</t>
  </si>
  <si>
    <t>megacd</t>
  </si>
  <si>
    <t>Sega Mega-CD [Japan]</t>
  </si>
  <si>
    <t>megacdjp</t>
  </si>
  <si>
    <t>Sega Mega Drive</t>
  </si>
  <si>
    <t>megadrive</t>
  </si>
  <si>
    <t>Sega Mega Drive [Japan]</t>
  </si>
  <si>
    <t>megadrivejp</t>
  </si>
  <si>
    <t>Sega Model 2</t>
  </si>
  <si>
    <t>model2</t>
  </si>
  <si>
    <t>Sega Model 3</t>
  </si>
  <si>
    <t>model3</t>
  </si>
  <si>
    <t>Sega NAOMI</t>
  </si>
  <si>
    <t>naomi</t>
  </si>
  <si>
    <t>Naomi 2</t>
  </si>
  <si>
    <t>naomi2</t>
  </si>
  <si>
    <t>Sega NAOMI GD-ROM</t>
  </si>
  <si>
    <t>naomigd</t>
  </si>
  <si>
    <t>Sega Saturn</t>
  </si>
  <si>
    <t>saturn</t>
  </si>
  <si>
    <t>Sega Saturn [Japan]</t>
  </si>
  <si>
    <t>saturnjp</t>
  </si>
  <si>
    <t>Sega Mega Drive 32X</t>
  </si>
  <si>
    <t>sega32x</t>
  </si>
  <si>
    <t>Sega Super 32X [Japan]</t>
  </si>
  <si>
    <t>sega32xjp</t>
  </si>
  <si>
    <t>Sega Genesis 32X [North America]</t>
  </si>
  <si>
    <t>sega32xna</t>
  </si>
  <si>
    <t>Sega CD</t>
  </si>
  <si>
    <t>segacd</t>
  </si>
  <si>
    <t>Sega SG-1000</t>
  </si>
  <si>
    <t>sg-1000</t>
  </si>
  <si>
    <t>ST-V</t>
  </si>
  <si>
    <t>stv</t>
  </si>
  <si>
    <t>Triforce Arcade System</t>
  </si>
  <si>
    <t>triforce</t>
  </si>
  <si>
    <t>OpenBOR Game Engine</t>
  </si>
  <si>
    <t>openbor</t>
  </si>
  <si>
    <t>Senile Team</t>
  </si>
  <si>
    <t>Sharp X1</t>
  </si>
  <si>
    <t>x1</t>
  </si>
  <si>
    <t>Sharp</t>
  </si>
  <si>
    <t>Sharp X68000</t>
  </si>
  <si>
    <t>x68000</t>
  </si>
  <si>
    <t>Sinclair ZX81</t>
  </si>
  <si>
    <t>zx81</t>
  </si>
  <si>
    <t>Sinclair</t>
  </si>
  <si>
    <t>Sinclair ZX Spectrum Next</t>
  </si>
  <si>
    <t>zxnext</t>
  </si>
  <si>
    <t>Sinclair ZX Spectrum</t>
  </si>
  <si>
    <t>zxspectrum</t>
  </si>
  <si>
    <t>Smith Engineering Vectrex</t>
  </si>
  <si>
    <t>vectrex</t>
  </si>
  <si>
    <t>Smith Engineering</t>
  </si>
  <si>
    <t>SNK Neo Geo</t>
  </si>
  <si>
    <t>neogeo</t>
  </si>
  <si>
    <t>SNK</t>
  </si>
  <si>
    <t>SNK Neo Geo CD</t>
  </si>
  <si>
    <t>neogeocd</t>
  </si>
  <si>
    <t>SNK Neo Geo CD [Japan]</t>
  </si>
  <si>
    <t>neogeocdjp</t>
  </si>
  <si>
    <t>SNK Neo Geo Pocket</t>
  </si>
  <si>
    <t>ngp</t>
  </si>
  <si>
    <t>SNK Neo Geo Pocket Color</t>
  </si>
  <si>
    <t>ngpc</t>
  </si>
  <si>
    <t>Sony PlayStation 2</t>
  </si>
  <si>
    <t>ps2</t>
  </si>
  <si>
    <t>Sony</t>
  </si>
  <si>
    <t>Sony PlayStation 3</t>
  </si>
  <si>
    <t>ps3</t>
  </si>
  <si>
    <t>Sony PlayStation 4</t>
  </si>
  <si>
    <t>ps4</t>
  </si>
  <si>
    <t>Sony PlayStation Portable</t>
  </si>
  <si>
    <t>psp</t>
  </si>
  <si>
    <t>Sony PlayStation Vita</t>
  </si>
  <si>
    <t>psvita</t>
  </si>
  <si>
    <t>Sony PlayStation</t>
  </si>
  <si>
    <t>psx</t>
  </si>
  <si>
    <t>Spectravideo</t>
  </si>
  <si>
    <t>spectravideo</t>
  </si>
  <si>
    <t>Symbian</t>
  </si>
  <si>
    <t>symbian</t>
  </si>
  <si>
    <t>Symbian Ltd.</t>
  </si>
  <si>
    <t>Taito Type X</t>
  </si>
  <si>
    <t>type-x</t>
  </si>
  <si>
    <t>Taito</t>
  </si>
  <si>
    <t>Tandy Color Computer</t>
  </si>
  <si>
    <t>coco</t>
  </si>
  <si>
    <t>Tandy</t>
  </si>
  <si>
    <t>Tandy TRS-80</t>
  </si>
  <si>
    <t>trs-80</t>
  </si>
  <si>
    <t>Tangerine Computer Systems Oric</t>
  </si>
  <si>
    <t>oric</t>
  </si>
  <si>
    <t>Tangerine Computer Systems</t>
  </si>
  <si>
    <t>Tano Dragon</t>
  </si>
  <si>
    <t>tanodragon</t>
  </si>
  <si>
    <t>Tano</t>
  </si>
  <si>
    <t>Texas Instruments TI-99</t>
  </si>
  <si>
    <t>ti99</t>
  </si>
  <si>
    <t>Texas Instruments</t>
  </si>
  <si>
    <t>Thomson TO8</t>
  </si>
  <si>
    <t>to8</t>
  </si>
  <si>
    <t>Thomson</t>
  </si>
  <si>
    <t>Thomson MO/TO Series</t>
  </si>
  <si>
    <t>moto</t>
  </si>
  <si>
    <t>Thomson SA</t>
  </si>
  <si>
    <t>Tiger Electronics Game.com</t>
  </si>
  <si>
    <t>gamecom</t>
  </si>
  <si>
    <t>Tiger</t>
  </si>
  <si>
    <t>LowRes NX</t>
  </si>
  <si>
    <t>lowresnx</t>
  </si>
  <si>
    <t>Timo Kloss</t>
  </si>
  <si>
    <t>Othello Multivision</t>
  </si>
  <si>
    <t>multivision</t>
  </si>
  <si>
    <t>Tsukuda Original</t>
  </si>
  <si>
    <t>TIC-80 Game Engine</t>
  </si>
  <si>
    <t>tic80</t>
  </si>
  <si>
    <t>Vadim Grigoruk</t>
  </si>
  <si>
    <t>Valve Steam</t>
  </si>
  <si>
    <t>steam</t>
  </si>
  <si>
    <t>Valve</t>
  </si>
  <si>
    <t>Android Apps</t>
  </si>
  <si>
    <t>androidapps</t>
  </si>
  <si>
    <t>Various</t>
  </si>
  <si>
    <t>Android Games</t>
  </si>
  <si>
    <t>androidgames</t>
  </si>
  <si>
    <t>Console Arcade Games</t>
  </si>
  <si>
    <t>consolearcade</t>
  </si>
  <si>
    <t>Desktop Applications</t>
  </si>
  <si>
    <t>desktop</t>
  </si>
  <si>
    <t>Emulators</t>
  </si>
  <si>
    <t>emulators</t>
  </si>
  <si>
    <t>LaserDisc Games</t>
  </si>
  <si>
    <t>laserdisc</t>
  </si>
  <si>
    <t>LCD Handheld Games</t>
  </si>
  <si>
    <t>lcdgames</t>
  </si>
  <si>
    <t>PC Arcade Games</t>
  </si>
  <si>
    <t>pcarcade</t>
  </si>
  <si>
    <t>Ports</t>
  </si>
  <si>
    <t>ports</t>
  </si>
  <si>
    <t>Visual Pinball</t>
  </si>
  <si>
    <t>vpinball</t>
  </si>
  <si>
    <t>Visual Pinball Team</t>
  </si>
  <si>
    <t>VTech CreatiVision</t>
  </si>
  <si>
    <t>crvision</t>
  </si>
  <si>
    <t>VTech</t>
  </si>
  <si>
    <t>VTech V.Smile</t>
  </si>
  <si>
    <t>vsmile</t>
  </si>
  <si>
    <t>Watara Supervision</t>
  </si>
  <si>
    <t>supervision</t>
  </si>
  <si>
    <t>Watara</t>
  </si>
  <si>
    <t>Kodi Home Theatre Software</t>
  </si>
  <si>
    <t>kodi</t>
  </si>
  <si>
    <t>XBMC Foundation</t>
  </si>
  <si>
    <t>auto-allgames</t>
  </si>
  <si>
    <t>auto-favorites</t>
  </si>
  <si>
    <t>auto-lastplayed</t>
  </si>
  <si>
    <t xml:space="preserve">    </t>
  </si>
  <si>
    <t>&lt;theme&gt;</t>
  </si>
  <si>
    <t>&lt;variables&gt;</t>
  </si>
  <si>
    <t>&lt;/variables&gt;</t>
  </si>
  <si>
    <t>&lt;/theme&gt;</t>
  </si>
  <si>
    <t>vircon32</t>
  </si>
  <si>
    <t>Vircon32</t>
  </si>
  <si>
    <t>Carra</t>
  </si>
  <si>
    <t>This sheet is meant to help create a custom systems sorting file and theme xml files to enable the XMB carousel to work in the xmb-es-de theme</t>
  </si>
  <si>
    <t>auto-collection</t>
  </si>
  <si>
    <t>001</t>
  </si>
  <si>
    <t>003</t>
  </si>
  <si>
    <t>002</t>
  </si>
  <si>
    <t>004</t>
  </si>
  <si>
    <t>005</t>
  </si>
  <si>
    <t>006</t>
  </si>
  <si>
    <t>007</t>
  </si>
  <si>
    <t>008</t>
  </si>
  <si>
    <t>009</t>
  </si>
  <si>
    <t>010</t>
  </si>
  <si>
    <t>012</t>
  </si>
  <si>
    <t>011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</si>
  <si>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</si>
  <si>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</si>
  <si>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</si>
  <si>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</si>
  <si>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</si>
  <si>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</si>
  <si>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</si>
  <si>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</si>
  <si>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</si>
  <si>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</si>
  <si>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</si>
  <si>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</si>
  <si>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</si>
  <si>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</si>
  <si>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</si>
  <si>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</si>
  <si>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</si>
  <si>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</si>
  <si>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004a</t>
  </si>
  <si>
    <t>1. On the "Systems" sheet; add your custom sort values for each system you want in the "systemsortname" column</t>
  </si>
  <si>
    <t>You need to populate this for all the systems you use in the order that they are displayed in your sort order (lexicographic)</t>
  </si>
  <si>
    <t>2. On the "Auto-Collections" sheet; Use the checkboxes to select the Auto Collections in use</t>
  </si>
  <si>
    <t>This step is only needed if you are using a custom sort order</t>
  </si>
  <si>
    <t>3. On the "Custom-Collections" sheet; Use the checkbox to select if custom collections are grouped or ungrouped in ES-DE</t>
  </si>
  <si>
    <r>
      <t xml:space="preserve">6. Place the gamelist-carousel folder generated in </t>
    </r>
    <r>
      <rPr>
        <b/>
        <sz val="12"/>
        <color rgb="FF00FFFF"/>
        <rFont val="Arial"/>
        <family val="2"/>
      </rPr>
      <t>/ES-DE/themes/xmb-es-de/theme-customizations/gamelist-carousel</t>
    </r>
  </si>
  <si>
    <t>These xml files tell the theme which systems are previous/next for the XMB to work</t>
  </si>
  <si>
    <r>
      <t xml:space="preserve">7. [OPTIONAL] Place the generated es_systems_sorting.xml file in </t>
    </r>
    <r>
      <rPr>
        <b/>
        <sz val="12"/>
        <color rgb="FF00FFFF"/>
        <rFont val="Arial"/>
        <family val="2"/>
      </rPr>
      <t>/ES-DE/custom_systems/</t>
    </r>
  </si>
  <si>
    <r>
      <t xml:space="preserve">8. [OPTIONAL] Open the main menu in ES-DE then "UI Settings"; make sure that Systems Sorting is set to </t>
    </r>
    <r>
      <rPr>
        <b/>
        <sz val="12"/>
        <color rgb="FF00FFFF"/>
        <rFont val="Arial"/>
        <family val="2"/>
      </rPr>
      <t>"Full Names or Custom"</t>
    </r>
  </si>
  <si>
    <t>4. On the "Custom-Collections" sheet; fill in the details for any custom-collections used</t>
  </si>
  <si>
    <t>Mario</t>
  </si>
  <si>
    <t>mario</t>
  </si>
  <si>
    <t>Zelda</t>
  </si>
  <si>
    <t>zelda</t>
  </si>
  <si>
    <t>5. Go to the "Output" sheet, confirm the sort order is correct and the select the 'Export XML files'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</si>
</sst>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24"/>
      <color theme="1"/>
      <name val="Raleway"/>
    </font>
    <font>
      <b/>
      <sz val="10"/>
      <color theme="1"/>
      <name val="Arial"/>
      <family val="2"/>
      <scheme val="minor"/>
    </font>
    <font>
      <b/>
      <sz val="12"/>
      <color rgb="FFFFFFFF"/>
      <name val="Arial"/>
      <family val="2"/>
      <scheme val="minor"/>
    </font>
    <font>
      <sz val="10"/>
      <color rgb="FFFFFFFF"/>
      <name val="Arial"/>
      <family val="2"/>
      <scheme val="minor"/>
    </font>
    <font>
      <i/>
      <sz val="10"/>
      <color rgb="FF666666"/>
      <name val="Arial"/>
      <family val="2"/>
      <scheme val="minor"/>
    </font>
    <font>
      <i/>
      <sz val="10"/>
      <color rgb="FF666666"/>
      <name val="Arial"/>
      <family val="2"/>
      <scheme val="minor"/>
    </font>
    <font>
      <b/>
      <sz val="10"/>
      <color rgb="FFFFFFFF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FFFFFF"/>
      <name val="Arial"/>
      <family val="2"/>
    </font>
    <font>
      <b/>
      <sz val="12"/>
      <color rgb="FF00FFFF"/>
      <name val="Arial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8"/>
      <color rgb="FF000000"/>
      <name val="Segoe UI"/>
      <family val="2"/>
    </font>
    <font>
      <b/>
      <sz val="10"/>
      <color rgb="FF6AA84F"/>
      <name val="Arial"/>
      <family val="2"/>
      <scheme val="minor"/>
    </font>
    <font>
      <sz val="10"/>
      <color rgb="FF6AA84F"/>
      <name val="Arial"/>
      <family val="2"/>
      <scheme val="minor"/>
    </font>
    <font>
      <sz val="1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1C4587"/>
        <bgColor rgb="FF1C4587"/>
      </patternFill>
    </fill>
    <fill>
      <patternFill patternType="solid">
        <fgColor rgb="FF6AA84F"/>
        <bgColor rgb="FF6AA84F"/>
      </patternFill>
    </fill>
    <fill>
      <patternFill patternType="solid">
        <fgColor rgb="FF6AA84F"/>
        <bgColor indexed="64"/>
      </patternFill>
    </fill>
    <fill>
      <patternFill patternType="solid">
        <fgColor rgb="FF6AA84F"/>
        <bgColor rgb="FF1C4587"/>
      </patternFill>
    </fill>
  </fills>
  <borders count="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3" fillId="0" borderId="1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5" fillId="2" borderId="3" xfId="0" applyFont="1" applyFill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8" fillId="3" borderId="1" xfId="0" applyFont="1" applyFill="1" applyBorder="1" applyAlignment="1">
      <alignment vertical="top"/>
    </xf>
    <xf numFmtId="0" fontId="2" fillId="0" borderId="5" xfId="0" applyFont="1" applyBorder="1" applyAlignment="1">
      <alignment vertical="top"/>
    </xf>
    <xf numFmtId="0" fontId="2" fillId="2" borderId="3" xfId="0" applyFont="1" applyFill="1" applyBorder="1" applyAlignment="1">
      <alignment vertical="top"/>
    </xf>
    <xf numFmtId="0" fontId="9" fillId="4" borderId="0" xfId="0" applyFont="1" applyFill="1"/>
    <xf numFmtId="0" fontId="2" fillId="0" borderId="0" xfId="0" applyFont="1"/>
    <xf numFmtId="49" fontId="2" fillId="0" borderId="0" xfId="0" quotePrefix="1" applyNumberFormat="1" applyFont="1"/>
    <xf numFmtId="49" fontId="2" fillId="0" borderId="0" xfId="0" applyNumberFormat="1" applyFont="1"/>
    <xf numFmtId="0" fontId="10" fillId="3" borderId="0" xfId="0" applyFont="1" applyFill="1" applyAlignment="1">
      <alignment horizontal="left"/>
    </xf>
    <xf numFmtId="0" fontId="9" fillId="4" borderId="0" xfId="0" applyFont="1" applyFill="1" applyAlignment="1">
      <alignment vertical="center"/>
    </xf>
    <xf numFmtId="49" fontId="9" fillId="5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49" fontId="9" fillId="0" borderId="0" xfId="0" applyNumberFormat="1" applyFont="1" applyAlignment="1">
      <alignment vertical="center"/>
    </xf>
    <xf numFmtId="0" fontId="11" fillId="2" borderId="3" xfId="0" applyFont="1" applyFill="1" applyBorder="1" applyAlignment="1">
      <alignment vertical="top"/>
    </xf>
    <xf numFmtId="49" fontId="16" fillId="6" borderId="0" xfId="0" applyNumberFormat="1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13" fillId="0" borderId="0" xfId="0" applyFont="1"/>
    <xf numFmtId="0" fontId="17" fillId="0" borderId="0" xfId="0" applyFont="1" applyAlignment="1">
      <alignment vertical="center"/>
    </xf>
    <xf numFmtId="0" fontId="9" fillId="7" borderId="0" xfId="0" applyFont="1" applyFill="1" applyAlignment="1">
      <alignment vertical="center"/>
    </xf>
  </cellXfs>
  <cellStyles count="1">
    <cellStyle name="Normal" xfId="0" builtinId="0"/>
  </cellStyles>
  <dxfs count="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6AA8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fmlaLink="$D$1" lockText="1" noThreeD="1"/>
</file>

<file path=xl/ctrlProps/ctrlProp7.xml><?xml version="1.0" encoding="utf-8"?>
<formControlPr xmlns="http://schemas.microsoft.com/office/spreadsheetml/2009/9/main" objectType="CheckBox" checked="Checked" fmlaLink="$E$1" lockText="1" noThreeD="1"/>
</file>

<file path=xl/ctrlProps/ctrlProp8.xml><?xml version="1.0" encoding="utf-8"?>
<formControlPr xmlns="http://schemas.microsoft.com/office/spreadsheetml/2009/9/main" objectType="CheckBox" checked="Checked" fmlaLink="$F$1" lockText="1" noThreeD="1"/>
</file>

<file path=xl/ctrlProps/ctrlProp9.xml><?xml version="1.0" encoding="utf-8"?>
<formControlPr xmlns="http://schemas.microsoft.com/office/spreadsheetml/2009/9/main" objectType="CheckBox" fmlaLink="$D$1" lockText="1" noThreeD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36</xdr:row>
      <xdr:rowOff>28575</xdr:rowOff>
    </xdr:from>
    <xdr:to>
      <xdr:col>1</xdr:col>
      <xdr:colOff>95058</xdr:colOff>
      <xdr:row>39</xdr:row>
      <xdr:rowOff>152307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185B7EA-AD27-7F5B-0199-251724366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6838950"/>
          <a:ext cx="1533333" cy="6095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8</xdr:col>
      <xdr:colOff>541884</xdr:colOff>
      <xdr:row>20</xdr:row>
      <xdr:rowOff>37792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6BF41B-0F57-469F-BE46-62E01963D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38300"/>
          <a:ext cx="8323809" cy="2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9525</xdr:rowOff>
    </xdr:from>
    <xdr:to>
      <xdr:col>6</xdr:col>
      <xdr:colOff>161142</xdr:colOff>
      <xdr:row>25</xdr:row>
      <xdr:rowOff>152342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683ED9-6FF6-B076-DF08-5EBA762CA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600575"/>
          <a:ext cx="6266667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19050</xdr:rowOff>
    </xdr:from>
    <xdr:to>
      <xdr:col>1</xdr:col>
      <xdr:colOff>647437</xdr:colOff>
      <xdr:row>29</xdr:row>
      <xdr:rowOff>152343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73DC1-1D6F-3662-575A-AF9860E7F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295900"/>
          <a:ext cx="2104762" cy="4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19051</xdr:rowOff>
    </xdr:from>
    <xdr:to>
      <xdr:col>1</xdr:col>
      <xdr:colOff>552450</xdr:colOff>
      <xdr:row>34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66B2310-D92E-EFB9-5CF3-5A71958EA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5981701"/>
          <a:ext cx="2009775" cy="619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47625</xdr:rowOff>
        </xdr:from>
        <xdr:to>
          <xdr:col>8</xdr:col>
          <xdr:colOff>314325</xdr:colOff>
          <xdr:row>12</xdr:row>
          <xdr:rowOff>104775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Hardware Type then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161925</xdr:rowOff>
        </xdr:from>
        <xdr:to>
          <xdr:col>8</xdr:col>
          <xdr:colOff>314325</xdr:colOff>
          <xdr:row>7</xdr:row>
          <xdr:rowOff>57150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95250</xdr:rowOff>
        </xdr:from>
        <xdr:to>
          <xdr:col>8</xdr:col>
          <xdr:colOff>323850</xdr:colOff>
          <xdr:row>9</xdr:row>
          <xdr:rowOff>161925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Manufacturer then </a:t>
              </a:r>
            </a:p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8</xdr:col>
          <xdr:colOff>314325</xdr:colOff>
          <xdr:row>15</xdr:row>
          <xdr:rowOff>104775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Manufacturer then </a:t>
              </a:r>
            </a:p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Hardware Type then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57150</xdr:rowOff>
        </xdr:from>
        <xdr:to>
          <xdr:col>8</xdr:col>
          <xdr:colOff>323850</xdr:colOff>
          <xdr:row>4</xdr:row>
          <xdr:rowOff>123825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Full Name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1409700</xdr:colOff>
          <xdr:row>0</xdr:row>
          <xdr:rowOff>304800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1409700</xdr:colOff>
          <xdr:row>0</xdr:row>
          <xdr:rowOff>304800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Favorites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0</xdr:rowOff>
        </xdr:from>
        <xdr:to>
          <xdr:col>5</xdr:col>
          <xdr:colOff>1409700</xdr:colOff>
          <xdr:row>0</xdr:row>
          <xdr:rowOff>304800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Last Played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1409700</xdr:colOff>
          <xdr:row>0</xdr:row>
          <xdr:rowOff>304800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Cutom Collections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28575</xdr:rowOff>
        </xdr:from>
        <xdr:to>
          <xdr:col>3</xdr:col>
          <xdr:colOff>647700</xdr:colOff>
          <xdr:row>3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XML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46"/>
  <sheetViews>
    <sheetView workbookViewId="0">
      <selection activeCell="J1" sqref="J1"/>
    </sheetView>
  </sheetViews>
  <sheetFormatPr defaultColWidth="12.5703125" defaultRowHeight="15.75" customHeight="1" x14ac:dyDescent="0.2"/>
  <cols>
    <col min="1" max="1" width="21.85546875" customWidth="1"/>
    <col min="2" max="2" width="17.42578125" customWidth="1"/>
    <col min="4" max="4" width="14.5703125" customWidth="1"/>
  </cols>
  <sheetData>
    <row r="1" spans="1:10" ht="12.75" x14ac:dyDescent="0.2">
      <c r="A1" s="1" t="s">
        <v>536</v>
      </c>
      <c r="B1" s="2"/>
      <c r="C1" s="2"/>
      <c r="D1" s="2"/>
      <c r="E1" s="2"/>
      <c r="F1" s="2"/>
      <c r="G1" s="2"/>
      <c r="H1" s="2"/>
      <c r="I1" s="2"/>
      <c r="J1" s="2"/>
    </row>
    <row r="2" spans="1:10" ht="37.5" x14ac:dyDescent="0.2">
      <c r="A2" s="3" t="s">
        <v>0</v>
      </c>
      <c r="B2" s="2"/>
      <c r="C2" s="2"/>
      <c r="D2" s="2"/>
      <c r="E2" s="2"/>
      <c r="F2" s="2"/>
      <c r="G2" s="2"/>
      <c r="H2" s="2"/>
      <c r="I2" s="2"/>
      <c r="J2" s="2"/>
    </row>
    <row r="3" spans="1:10" ht="12.75" x14ac:dyDescent="0.2">
      <c r="A3" s="4"/>
      <c r="B3" s="5"/>
      <c r="C3" s="5"/>
      <c r="D3" s="5"/>
      <c r="E3" s="5"/>
      <c r="F3" s="5"/>
      <c r="G3" s="5"/>
      <c r="H3" s="5"/>
      <c r="I3" s="5"/>
      <c r="J3" s="5"/>
    </row>
    <row r="4" spans="1:10" x14ac:dyDescent="0.2">
      <c r="A4" s="6" t="s">
        <v>569</v>
      </c>
      <c r="B4" s="7"/>
      <c r="C4" s="7"/>
      <c r="D4" s="7"/>
      <c r="E4" s="7"/>
      <c r="F4" s="7"/>
      <c r="G4" s="7"/>
      <c r="H4" s="7"/>
      <c r="I4" s="7"/>
      <c r="J4" s="7"/>
    </row>
    <row r="5" spans="1:10" ht="12.75" x14ac:dyDescent="0.2">
      <c r="A5" s="8" t="s">
        <v>570</v>
      </c>
      <c r="B5" s="9"/>
      <c r="C5" s="9"/>
      <c r="D5" s="9"/>
      <c r="E5" s="9"/>
      <c r="F5" s="9"/>
      <c r="G5" s="9"/>
      <c r="H5" s="9"/>
      <c r="I5" s="9"/>
      <c r="J5" s="9"/>
    </row>
    <row r="6" spans="1:10" ht="12.75" x14ac:dyDescent="0.2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ht="12.75" x14ac:dyDescent="0.2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2.75" x14ac:dyDescent="0.2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12.75" x14ac:dyDescent="0.2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12.75" x14ac:dyDescent="0.2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ht="12.75" x14ac:dyDescent="0.2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2.75" x14ac:dyDescent="0.2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12.75" x14ac:dyDescent="0.2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12.75" x14ac:dyDescent="0.2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ht="12.75" x14ac:dyDescent="0.2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ht="12.75" x14ac:dyDescent="0.2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12.75" x14ac:dyDescent="0.2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12.75" x14ac:dyDescent="0.2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12.75" x14ac:dyDescent="0.2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12.75" x14ac:dyDescent="0.2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12.75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12.75" x14ac:dyDescent="0.2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0" x14ac:dyDescent="0.2">
      <c r="A23" s="6" t="s">
        <v>571</v>
      </c>
      <c r="B23" s="7"/>
      <c r="C23" s="7"/>
      <c r="D23" s="7"/>
      <c r="E23" s="7"/>
      <c r="F23" s="7"/>
      <c r="G23" s="7"/>
      <c r="H23" s="7"/>
      <c r="I23" s="7"/>
      <c r="J23" s="7"/>
    </row>
    <row r="24" spans="1:10" ht="12.75" x14ac:dyDescent="0.2">
      <c r="A24" s="8"/>
      <c r="B24" s="9"/>
      <c r="C24" s="9"/>
      <c r="D24" s="9"/>
      <c r="E24" s="9"/>
      <c r="F24" s="9"/>
      <c r="G24" s="9"/>
      <c r="H24" s="9"/>
      <c r="I24" s="9"/>
      <c r="J24" s="9"/>
    </row>
    <row r="25" spans="1:10" ht="12.75" x14ac:dyDescent="0.2">
      <c r="A25" s="10"/>
      <c r="B25" s="2"/>
      <c r="C25" s="2"/>
      <c r="D25" s="2"/>
      <c r="E25" s="2"/>
      <c r="F25" s="2"/>
      <c r="G25" s="2"/>
      <c r="H25" s="2"/>
      <c r="I25" s="2"/>
      <c r="J25" s="2"/>
    </row>
    <row r="26" spans="1:10" ht="12.75" x14ac:dyDescent="0.2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 x14ac:dyDescent="0.2">
      <c r="A27" s="6" t="s">
        <v>573</v>
      </c>
      <c r="B27" s="7"/>
      <c r="C27" s="7"/>
      <c r="D27" s="7"/>
      <c r="E27" s="7"/>
      <c r="F27" s="7"/>
      <c r="G27" s="7"/>
      <c r="H27" s="7"/>
      <c r="I27" s="7"/>
      <c r="J27" s="7"/>
    </row>
    <row r="28" spans="1:10" ht="12.75" x14ac:dyDescent="0.2">
      <c r="A28" s="8"/>
      <c r="B28" s="9"/>
      <c r="C28" s="9"/>
      <c r="D28" s="9"/>
      <c r="E28" s="9"/>
      <c r="F28" s="9"/>
      <c r="G28" s="9"/>
      <c r="H28" s="9"/>
      <c r="I28" s="9"/>
      <c r="J28" s="9"/>
    </row>
    <row r="29" spans="1:10" ht="12.75" x14ac:dyDescent="0.2">
      <c r="A29" s="10"/>
      <c r="B29" s="2"/>
      <c r="C29" s="2"/>
      <c r="D29" s="2"/>
      <c r="E29" s="2"/>
      <c r="F29" s="2"/>
      <c r="G29" s="2"/>
      <c r="H29" s="2"/>
      <c r="I29" s="2"/>
      <c r="J29" s="2"/>
    </row>
    <row r="30" spans="1:10" ht="12.75" x14ac:dyDescent="0.2">
      <c r="A30" s="5"/>
      <c r="B30" s="5"/>
      <c r="C30" s="5"/>
      <c r="D30" s="5"/>
      <c r="E30" s="5"/>
      <c r="F30" s="5"/>
      <c r="G30" s="5"/>
      <c r="H30" s="5"/>
      <c r="I30" s="5"/>
      <c r="J30" s="5"/>
    </row>
    <row r="31" spans="1:10" x14ac:dyDescent="0.2">
      <c r="A31" s="6" t="s">
        <v>578</v>
      </c>
      <c r="B31" s="7"/>
      <c r="C31" s="7"/>
      <c r="D31" s="7"/>
      <c r="E31" s="7"/>
      <c r="F31" s="7"/>
      <c r="G31" s="7"/>
      <c r="H31" s="7"/>
      <c r="I31" s="7"/>
      <c r="J31" s="7"/>
    </row>
    <row r="32" spans="1:10" ht="12.75" x14ac:dyDescent="0.2">
      <c r="A32" s="8"/>
      <c r="B32" s="9"/>
      <c r="C32" s="9"/>
      <c r="D32" s="9"/>
      <c r="E32" s="9"/>
      <c r="F32" s="9"/>
      <c r="G32" s="9"/>
      <c r="H32" s="9"/>
      <c r="I32" s="9"/>
      <c r="J32" s="9"/>
    </row>
    <row r="33" spans="1:10" ht="12.75" x14ac:dyDescent="0.2">
      <c r="A33" s="8"/>
      <c r="B33" s="9"/>
      <c r="C33" s="9"/>
      <c r="D33" s="9"/>
      <c r="E33" s="9"/>
      <c r="F33" s="9"/>
      <c r="G33" s="9"/>
      <c r="H33" s="9"/>
      <c r="I33" s="9"/>
      <c r="J33" s="9"/>
    </row>
    <row r="34" spans="1:10" ht="12.75" x14ac:dyDescent="0.2">
      <c r="A34" s="10"/>
      <c r="B34" s="2"/>
      <c r="C34" s="5"/>
      <c r="D34" s="2"/>
      <c r="E34" s="2"/>
      <c r="F34" s="2"/>
      <c r="G34" s="2"/>
      <c r="H34" s="2"/>
      <c r="I34" s="2"/>
      <c r="J34" s="2"/>
    </row>
    <row r="35" spans="1:10" ht="12.75" x14ac:dyDescent="0.2">
      <c r="A35" s="5"/>
      <c r="B35" s="5"/>
      <c r="D35" s="5"/>
      <c r="E35" s="5"/>
      <c r="F35" s="5"/>
      <c r="G35" s="5"/>
      <c r="H35" s="5"/>
      <c r="I35" s="5"/>
      <c r="J35" s="5"/>
    </row>
    <row r="36" spans="1:10" x14ac:dyDescent="0.2">
      <c r="A36" s="6" t="s">
        <v>583</v>
      </c>
      <c r="B36" s="7"/>
      <c r="C36" s="7"/>
      <c r="D36" s="7"/>
      <c r="E36" s="7"/>
      <c r="F36" s="7"/>
      <c r="G36" s="7"/>
      <c r="H36" s="7"/>
      <c r="I36" s="7"/>
      <c r="J36" s="7"/>
    </row>
    <row r="37" spans="1:10" ht="12.75" x14ac:dyDescent="0.2">
      <c r="A37" s="9"/>
      <c r="B37" s="9"/>
      <c r="C37" s="9"/>
      <c r="D37" s="9"/>
      <c r="E37" s="9"/>
      <c r="F37" s="9"/>
      <c r="G37" s="9"/>
      <c r="H37" s="9"/>
      <c r="I37" s="9"/>
      <c r="J37" s="9"/>
    </row>
    <row r="38" spans="1:10" ht="12.75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2.75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2.75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x14ac:dyDescent="0.2">
      <c r="A41" s="22" t="s">
        <v>574</v>
      </c>
      <c r="B41" s="7"/>
      <c r="C41" s="7"/>
      <c r="D41" s="7"/>
      <c r="E41" s="7"/>
      <c r="F41" s="7"/>
      <c r="G41" s="7"/>
      <c r="H41" s="7"/>
      <c r="I41" s="7"/>
      <c r="J41" s="7"/>
    </row>
    <row r="42" spans="1:10" ht="12.75" x14ac:dyDescent="0.2">
      <c r="A42" s="11" t="s">
        <v>575</v>
      </c>
      <c r="B42" s="11"/>
      <c r="C42" s="11"/>
      <c r="D42" s="11"/>
      <c r="E42" s="11"/>
      <c r="F42" s="11"/>
      <c r="G42" s="11"/>
      <c r="H42" s="11"/>
      <c r="I42" s="11"/>
      <c r="J42" s="11"/>
    </row>
    <row r="43" spans="1:10" x14ac:dyDescent="0.2">
      <c r="A43" s="22" t="s">
        <v>576</v>
      </c>
      <c r="B43" s="7"/>
      <c r="C43" s="7"/>
      <c r="D43" s="7"/>
      <c r="E43" s="7"/>
      <c r="F43" s="7"/>
      <c r="G43" s="7"/>
      <c r="H43" s="7"/>
      <c r="I43" s="7"/>
      <c r="J43" s="7"/>
    </row>
    <row r="44" spans="1:10" ht="12.75" x14ac:dyDescent="0.2">
      <c r="A44" s="5" t="s">
        <v>572</v>
      </c>
      <c r="B44" s="5"/>
      <c r="C44" s="5"/>
      <c r="D44" s="5"/>
      <c r="E44" s="5"/>
      <c r="F44" s="5"/>
      <c r="G44" s="5"/>
      <c r="H44" s="5"/>
      <c r="I44" s="5"/>
      <c r="J44" s="5"/>
    </row>
    <row r="45" spans="1:10" x14ac:dyDescent="0.2">
      <c r="A45" s="22" t="s">
        <v>577</v>
      </c>
      <c r="B45" s="12"/>
      <c r="C45" s="12"/>
      <c r="D45" s="12"/>
      <c r="E45" s="12"/>
      <c r="F45" s="12"/>
      <c r="G45" s="12"/>
      <c r="H45" s="12"/>
      <c r="I45" s="12"/>
      <c r="J45" s="12"/>
    </row>
    <row r="46" spans="1:10" ht="12.75" x14ac:dyDescent="0.2">
      <c r="A46" s="5" t="s">
        <v>572</v>
      </c>
      <c r="B46" s="5"/>
      <c r="C46" s="5"/>
      <c r="D46" s="5"/>
      <c r="E46" s="5"/>
      <c r="F46" s="5"/>
      <c r="G46" s="5"/>
      <c r="H46" s="5"/>
      <c r="I46" s="5"/>
      <c r="J46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H196"/>
  <sheetViews>
    <sheetView zoomScaleNormal="100" workbookViewId="0">
      <pane ySplit="1" topLeftCell="A2" activePane="bottomLeft" state="frozen"/>
      <selection pane="bottomLeft" activeCell="K23" sqref="K23"/>
    </sheetView>
  </sheetViews>
  <sheetFormatPr defaultColWidth="12.5703125" defaultRowHeight="15.75" customHeight="1" x14ac:dyDescent="0.2"/>
  <cols>
    <col min="1" max="1" width="37.85546875" customWidth="1"/>
    <col min="2" max="2" width="16.7109375" bestFit="1" customWidth="1"/>
    <col min="3" max="3" width="23" customWidth="1"/>
    <col min="4" max="4" width="16.5703125" bestFit="1" customWidth="1"/>
    <col min="5" max="5" width="12.7109375" customWidth="1"/>
    <col min="6" max="6" width="18" bestFit="1" customWidth="1"/>
    <col min="7" max="7" width="6.140625" customWidth="1"/>
    <col min="8" max="8" width="21.7109375" customWidth="1"/>
  </cols>
  <sheetData>
    <row r="1" spans="1:8" s="20" customFormat="1" ht="24.95" customHeight="1" x14ac:dyDescent="0.2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9" t="s">
        <v>6</v>
      </c>
      <c r="G1" s="21"/>
      <c r="H1" s="21"/>
    </row>
    <row r="2" spans="1:8" ht="12.75" x14ac:dyDescent="0.2">
      <c r="A2" s="14" t="s">
        <v>346</v>
      </c>
      <c r="B2" s="14" t="s">
        <v>347</v>
      </c>
      <c r="C2" s="14" t="s">
        <v>348</v>
      </c>
      <c r="D2" s="14" t="s">
        <v>34</v>
      </c>
      <c r="E2" s="16" t="s">
        <v>67</v>
      </c>
      <c r="F2" s="16"/>
      <c r="G2" s="16"/>
    </row>
    <row r="3" spans="1:8" ht="12.75" x14ac:dyDescent="0.2">
      <c r="A3" s="14" t="s">
        <v>7</v>
      </c>
      <c r="B3" s="14" t="s">
        <v>8</v>
      </c>
      <c r="C3" s="14" t="s">
        <v>9</v>
      </c>
      <c r="D3" s="14" t="s">
        <v>10</v>
      </c>
      <c r="E3" s="15" t="s">
        <v>11</v>
      </c>
      <c r="F3" s="16"/>
      <c r="G3" s="16"/>
    </row>
    <row r="4" spans="1:8" ht="12.75" x14ac:dyDescent="0.2">
      <c r="A4" s="14" t="s">
        <v>15</v>
      </c>
      <c r="B4" s="14" t="s">
        <v>16</v>
      </c>
      <c r="C4" s="14" t="s">
        <v>17</v>
      </c>
      <c r="D4" s="14" t="s">
        <v>10</v>
      </c>
      <c r="E4" s="16" t="s">
        <v>18</v>
      </c>
      <c r="F4" s="16"/>
      <c r="G4" s="16"/>
    </row>
    <row r="5" spans="1:8" ht="12.75" x14ac:dyDescent="0.2">
      <c r="A5" s="14" t="s">
        <v>12</v>
      </c>
      <c r="B5" s="14" t="s">
        <v>13</v>
      </c>
      <c r="C5" s="14" t="s">
        <v>9</v>
      </c>
      <c r="D5" s="14" t="s">
        <v>10</v>
      </c>
      <c r="E5" s="16" t="s">
        <v>14</v>
      </c>
      <c r="F5" s="16"/>
      <c r="G5" s="16"/>
    </row>
    <row r="6" spans="1:8" ht="12.75" x14ac:dyDescent="0.2">
      <c r="A6" s="14" t="s">
        <v>19</v>
      </c>
      <c r="B6" s="14" t="s">
        <v>20</v>
      </c>
      <c r="C6" s="14" t="s">
        <v>21</v>
      </c>
      <c r="D6" s="14" t="s">
        <v>22</v>
      </c>
      <c r="E6" s="16" t="s">
        <v>23</v>
      </c>
      <c r="F6" s="16"/>
      <c r="G6" s="16"/>
    </row>
    <row r="7" spans="1:8" ht="12.75" x14ac:dyDescent="0.2">
      <c r="A7" s="14" t="s">
        <v>24</v>
      </c>
      <c r="B7" s="14" t="s">
        <v>25</v>
      </c>
      <c r="C7" s="14" t="s">
        <v>24</v>
      </c>
      <c r="D7" s="14" t="s">
        <v>26</v>
      </c>
      <c r="E7" s="16" t="s">
        <v>27</v>
      </c>
      <c r="F7" s="16"/>
      <c r="G7" s="16"/>
    </row>
    <row r="8" spans="1:8" ht="12.75" x14ac:dyDescent="0.2">
      <c r="A8" s="14" t="s">
        <v>120</v>
      </c>
      <c r="B8" s="14" t="s">
        <v>121</v>
      </c>
      <c r="C8" s="14" t="s">
        <v>122</v>
      </c>
      <c r="D8" s="14" t="s">
        <v>22</v>
      </c>
      <c r="E8" s="16" t="s">
        <v>123</v>
      </c>
      <c r="F8" s="16"/>
      <c r="G8" s="16"/>
    </row>
    <row r="9" spans="1:8" ht="12.75" x14ac:dyDescent="0.2">
      <c r="A9" s="14" t="s">
        <v>28</v>
      </c>
      <c r="B9" s="14" t="s">
        <v>29</v>
      </c>
      <c r="C9" s="14" t="s">
        <v>30</v>
      </c>
      <c r="D9" s="14" t="s">
        <v>10</v>
      </c>
      <c r="E9" s="16" t="s">
        <v>31</v>
      </c>
      <c r="F9" s="16"/>
      <c r="G9" s="16"/>
    </row>
    <row r="10" spans="1:8" ht="12.75" x14ac:dyDescent="0.2">
      <c r="A10" s="14" t="s">
        <v>32</v>
      </c>
      <c r="B10" s="14" t="s">
        <v>33</v>
      </c>
      <c r="C10" s="14" t="s">
        <v>30</v>
      </c>
      <c r="D10" s="14" t="s">
        <v>34</v>
      </c>
      <c r="E10" s="16" t="s">
        <v>35</v>
      </c>
      <c r="F10" s="16"/>
      <c r="G10" s="16"/>
    </row>
    <row r="11" spans="1:8" ht="12.75" x14ac:dyDescent="0.2">
      <c r="A11" s="14" t="s">
        <v>492</v>
      </c>
      <c r="B11" s="14" t="s">
        <v>493</v>
      </c>
      <c r="C11" s="14" t="s">
        <v>494</v>
      </c>
      <c r="D11" s="14" t="s">
        <v>175</v>
      </c>
      <c r="E11" s="15" t="s">
        <v>47</v>
      </c>
      <c r="F11" s="16" t="s">
        <v>538</v>
      </c>
      <c r="G11" s="16"/>
    </row>
    <row r="12" spans="1:8" ht="12.75" x14ac:dyDescent="0.2">
      <c r="A12" s="14" t="s">
        <v>495</v>
      </c>
      <c r="B12" s="14" t="s">
        <v>496</v>
      </c>
      <c r="C12" s="14" t="s">
        <v>494</v>
      </c>
      <c r="D12" s="14" t="s">
        <v>175</v>
      </c>
      <c r="E12" s="15" t="s">
        <v>47</v>
      </c>
      <c r="F12" s="16" t="s">
        <v>539</v>
      </c>
      <c r="G12" s="16"/>
    </row>
    <row r="13" spans="1:8" ht="12.75" x14ac:dyDescent="0.2">
      <c r="A13" s="14" t="s">
        <v>36</v>
      </c>
      <c r="B13" s="14" t="s">
        <v>37</v>
      </c>
      <c r="C13" s="14" t="s">
        <v>38</v>
      </c>
      <c r="D13" s="14" t="s">
        <v>10</v>
      </c>
      <c r="E13" s="16" t="s">
        <v>39</v>
      </c>
      <c r="F13" s="16"/>
      <c r="G13" s="16"/>
    </row>
    <row r="14" spans="1:8" ht="12.75" x14ac:dyDescent="0.2">
      <c r="A14" s="14" t="s">
        <v>40</v>
      </c>
      <c r="B14" s="14" t="s">
        <v>41</v>
      </c>
      <c r="C14" s="14" t="s">
        <v>38</v>
      </c>
      <c r="D14" s="14" t="s">
        <v>10</v>
      </c>
      <c r="E14" s="16" t="s">
        <v>42</v>
      </c>
      <c r="F14" s="16"/>
      <c r="G14" s="16"/>
    </row>
    <row r="15" spans="1:8" ht="12.75" x14ac:dyDescent="0.2">
      <c r="A15" s="14" t="s">
        <v>43</v>
      </c>
      <c r="B15" s="14" t="s">
        <v>44</v>
      </c>
      <c r="C15" s="14" t="s">
        <v>38</v>
      </c>
      <c r="D15" s="14" t="s">
        <v>10</v>
      </c>
      <c r="E15" s="16" t="s">
        <v>31</v>
      </c>
      <c r="F15" s="16"/>
      <c r="G15" s="16"/>
    </row>
    <row r="16" spans="1:8" ht="12.75" x14ac:dyDescent="0.2">
      <c r="A16" s="14" t="s">
        <v>45</v>
      </c>
      <c r="B16" s="14" t="s">
        <v>46</v>
      </c>
      <c r="C16" s="14" t="s">
        <v>45</v>
      </c>
      <c r="D16" s="14" t="s">
        <v>45</v>
      </c>
      <c r="E16" s="16" t="s">
        <v>47</v>
      </c>
      <c r="F16" s="16" t="s">
        <v>568</v>
      </c>
      <c r="G16" s="16"/>
    </row>
    <row r="17" spans="1:7" ht="12.75" x14ac:dyDescent="0.2">
      <c r="A17" s="14" t="s">
        <v>210</v>
      </c>
      <c r="B17" s="14" t="s">
        <v>211</v>
      </c>
      <c r="C17" s="14" t="s">
        <v>212</v>
      </c>
      <c r="D17" s="14" t="s">
        <v>73</v>
      </c>
      <c r="E17" s="16" t="s">
        <v>213</v>
      </c>
      <c r="F17" s="16"/>
      <c r="G17" s="16"/>
    </row>
    <row r="18" spans="1:7" ht="12.75" x14ac:dyDescent="0.2">
      <c r="A18" s="14" t="s">
        <v>58</v>
      </c>
      <c r="B18" s="14" t="s">
        <v>59</v>
      </c>
      <c r="C18" s="14" t="s">
        <v>56</v>
      </c>
      <c r="D18" s="14" t="s">
        <v>34</v>
      </c>
      <c r="E18" s="16" t="s">
        <v>39</v>
      </c>
      <c r="F18" s="16"/>
      <c r="G18" s="16"/>
    </row>
    <row r="19" spans="1:7" ht="12.75" x14ac:dyDescent="0.2">
      <c r="A19" s="14" t="s">
        <v>60</v>
      </c>
      <c r="B19" s="14" t="s">
        <v>61</v>
      </c>
      <c r="C19" s="14" t="s">
        <v>56</v>
      </c>
      <c r="D19" s="14" t="s">
        <v>34</v>
      </c>
      <c r="E19" s="16" t="s">
        <v>62</v>
      </c>
      <c r="F19" s="16"/>
      <c r="G19" s="16"/>
    </row>
    <row r="20" spans="1:7" ht="12.75" x14ac:dyDescent="0.2">
      <c r="A20" s="14" t="s">
        <v>63</v>
      </c>
      <c r="B20" s="14" t="s">
        <v>64</v>
      </c>
      <c r="C20" s="14" t="s">
        <v>56</v>
      </c>
      <c r="D20" s="14" t="s">
        <v>34</v>
      </c>
      <c r="E20" s="16" t="s">
        <v>42</v>
      </c>
      <c r="F20" s="16"/>
      <c r="G20" s="16"/>
    </row>
    <row r="21" spans="1:7" ht="12.75" x14ac:dyDescent="0.2">
      <c r="A21" s="14" t="s">
        <v>54</v>
      </c>
      <c r="B21" s="14" t="s">
        <v>55</v>
      </c>
      <c r="C21" s="14" t="s">
        <v>56</v>
      </c>
      <c r="D21" s="14" t="s">
        <v>10</v>
      </c>
      <c r="E21" s="16" t="s">
        <v>57</v>
      </c>
      <c r="F21" s="16"/>
      <c r="G21" s="16"/>
    </row>
    <row r="22" spans="1:7" ht="12.75" x14ac:dyDescent="0.2">
      <c r="A22" s="14" t="s">
        <v>65</v>
      </c>
      <c r="B22" s="14" t="s">
        <v>66</v>
      </c>
      <c r="C22" s="14" t="s">
        <v>56</v>
      </c>
      <c r="D22" s="14" t="s">
        <v>34</v>
      </c>
      <c r="E22" s="16" t="s">
        <v>67</v>
      </c>
      <c r="F22" s="16"/>
      <c r="G22" s="16"/>
    </row>
    <row r="23" spans="1:7" ht="12.75" x14ac:dyDescent="0.2">
      <c r="A23" s="14" t="s">
        <v>68</v>
      </c>
      <c r="B23" s="14" t="s">
        <v>69</v>
      </c>
      <c r="C23" s="14" t="s">
        <v>56</v>
      </c>
      <c r="D23" s="14" t="s">
        <v>34</v>
      </c>
      <c r="E23" s="16" t="s">
        <v>70</v>
      </c>
      <c r="F23" s="16"/>
      <c r="G23" s="16"/>
    </row>
    <row r="24" spans="1:7" ht="12.75" x14ac:dyDescent="0.2">
      <c r="A24" s="14" t="s">
        <v>71</v>
      </c>
      <c r="B24" s="14" t="s">
        <v>72</v>
      </c>
      <c r="C24" s="14" t="s">
        <v>56</v>
      </c>
      <c r="D24" s="14" t="s">
        <v>73</v>
      </c>
      <c r="E24" s="16" t="s">
        <v>74</v>
      </c>
      <c r="F24" s="16"/>
      <c r="G24" s="16"/>
    </row>
    <row r="25" spans="1:7" ht="12.75" x14ac:dyDescent="0.2">
      <c r="A25" s="14" t="s">
        <v>75</v>
      </c>
      <c r="B25" s="14" t="s">
        <v>76</v>
      </c>
      <c r="C25" s="14" t="s">
        <v>56</v>
      </c>
      <c r="D25" s="14" t="s">
        <v>10</v>
      </c>
      <c r="E25" s="16" t="s">
        <v>77</v>
      </c>
      <c r="F25" s="16"/>
      <c r="G25" s="16"/>
    </row>
    <row r="26" spans="1:7" ht="12.75" x14ac:dyDescent="0.2">
      <c r="A26" s="14" t="s">
        <v>78</v>
      </c>
      <c r="B26" s="14" t="s">
        <v>79</v>
      </c>
      <c r="C26" s="14" t="s">
        <v>56</v>
      </c>
      <c r="D26" s="14" t="s">
        <v>10</v>
      </c>
      <c r="E26" s="16" t="s">
        <v>11</v>
      </c>
      <c r="F26" s="16"/>
      <c r="G26" s="16"/>
    </row>
    <row r="27" spans="1:7" ht="12.75" x14ac:dyDescent="0.2">
      <c r="A27" s="14" t="s">
        <v>80</v>
      </c>
      <c r="B27" s="14" t="s">
        <v>81</v>
      </c>
      <c r="C27" s="14" t="s">
        <v>82</v>
      </c>
      <c r="D27" s="14" t="s">
        <v>34</v>
      </c>
      <c r="E27" s="16" t="s">
        <v>39</v>
      </c>
      <c r="F27" s="16"/>
      <c r="G27" s="16"/>
    </row>
    <row r="28" spans="1:7" ht="12.75" x14ac:dyDescent="0.2">
      <c r="A28" s="14" t="s">
        <v>83</v>
      </c>
      <c r="B28" s="14" t="s">
        <v>84</v>
      </c>
      <c r="C28" s="14" t="s">
        <v>85</v>
      </c>
      <c r="D28" s="14" t="s">
        <v>86</v>
      </c>
      <c r="E28" s="16" t="s">
        <v>23</v>
      </c>
      <c r="F28" s="16"/>
      <c r="G28" s="16"/>
    </row>
    <row r="29" spans="1:7" ht="12.75" x14ac:dyDescent="0.2">
      <c r="A29" s="14" t="s">
        <v>87</v>
      </c>
      <c r="B29" s="14" t="s">
        <v>88</v>
      </c>
      <c r="C29" s="14" t="s">
        <v>85</v>
      </c>
      <c r="D29" s="14" t="s">
        <v>73</v>
      </c>
      <c r="E29" s="16" t="s">
        <v>89</v>
      </c>
      <c r="F29" s="16"/>
      <c r="G29" s="16"/>
    </row>
    <row r="30" spans="1:7" ht="12.75" x14ac:dyDescent="0.2">
      <c r="A30" s="14" t="s">
        <v>90</v>
      </c>
      <c r="B30" s="14" t="s">
        <v>91</v>
      </c>
      <c r="C30" s="14" t="s">
        <v>85</v>
      </c>
      <c r="D30" s="14" t="s">
        <v>73</v>
      </c>
      <c r="E30" s="16" t="s">
        <v>50</v>
      </c>
      <c r="F30" s="16"/>
      <c r="G30" s="16"/>
    </row>
    <row r="31" spans="1:7" ht="12.75" x14ac:dyDescent="0.2">
      <c r="A31" s="14" t="s">
        <v>103</v>
      </c>
      <c r="B31" s="14" t="s">
        <v>104</v>
      </c>
      <c r="C31" s="14" t="s">
        <v>105</v>
      </c>
      <c r="D31" s="14" t="s">
        <v>45</v>
      </c>
      <c r="E31" s="16" t="s">
        <v>106</v>
      </c>
      <c r="F31" s="16"/>
      <c r="G31" s="16"/>
    </row>
    <row r="32" spans="1:7" ht="12.75" x14ac:dyDescent="0.2">
      <c r="A32" s="14" t="s">
        <v>107</v>
      </c>
      <c r="B32" s="14" t="s">
        <v>108</v>
      </c>
      <c r="C32" s="14" t="s">
        <v>105</v>
      </c>
      <c r="D32" s="14" t="s">
        <v>45</v>
      </c>
      <c r="E32" s="16" t="s">
        <v>106</v>
      </c>
      <c r="F32" s="16"/>
      <c r="G32" s="16"/>
    </row>
    <row r="33" spans="1:7" ht="12.75" x14ac:dyDescent="0.2">
      <c r="A33" s="14" t="s">
        <v>109</v>
      </c>
      <c r="B33" s="14" t="s">
        <v>110</v>
      </c>
      <c r="C33" s="14" t="s">
        <v>105</v>
      </c>
      <c r="D33" s="14" t="s">
        <v>45</v>
      </c>
      <c r="E33" s="16" t="s">
        <v>67</v>
      </c>
      <c r="F33" s="16"/>
      <c r="G33" s="16"/>
    </row>
    <row r="34" spans="1:7" ht="12.75" x14ac:dyDescent="0.2">
      <c r="A34" s="14" t="s">
        <v>111</v>
      </c>
      <c r="B34" s="14" t="s">
        <v>112</v>
      </c>
      <c r="C34" s="14" t="s">
        <v>105</v>
      </c>
      <c r="D34" s="14" t="s">
        <v>45</v>
      </c>
      <c r="E34" s="16" t="s">
        <v>23</v>
      </c>
      <c r="F34" s="16"/>
      <c r="G34" s="16"/>
    </row>
    <row r="35" spans="1:7" ht="12.75" x14ac:dyDescent="0.2">
      <c r="A35" s="14" t="s">
        <v>113</v>
      </c>
      <c r="B35" s="14" t="s">
        <v>114</v>
      </c>
      <c r="C35" s="14" t="s">
        <v>115</v>
      </c>
      <c r="D35" s="14" t="s">
        <v>34</v>
      </c>
      <c r="E35" s="16" t="s">
        <v>14</v>
      </c>
      <c r="F35" s="16"/>
      <c r="G35" s="16"/>
    </row>
    <row r="36" spans="1:7" ht="12.75" x14ac:dyDescent="0.2">
      <c r="A36" s="14" t="s">
        <v>116</v>
      </c>
      <c r="B36" s="14" t="s">
        <v>117</v>
      </c>
      <c r="C36" s="14" t="s">
        <v>118</v>
      </c>
      <c r="D36" s="14" t="s">
        <v>22</v>
      </c>
      <c r="E36" s="16" t="s">
        <v>119</v>
      </c>
      <c r="F36" s="16"/>
      <c r="G36" s="16"/>
    </row>
    <row r="37" spans="1:7" ht="12.75" x14ac:dyDescent="0.2">
      <c r="A37" s="14" t="s">
        <v>132</v>
      </c>
      <c r="B37" s="14" t="s">
        <v>133</v>
      </c>
      <c r="C37" s="14" t="s">
        <v>134</v>
      </c>
      <c r="D37" s="14" t="s">
        <v>10</v>
      </c>
      <c r="E37" s="15" t="s">
        <v>14</v>
      </c>
      <c r="F37" s="16"/>
      <c r="G37" s="16"/>
    </row>
    <row r="38" spans="1:7" ht="12.75" x14ac:dyDescent="0.2">
      <c r="A38" s="14" t="s">
        <v>135</v>
      </c>
      <c r="B38" s="14" t="s">
        <v>136</v>
      </c>
      <c r="C38" s="14" t="s">
        <v>134</v>
      </c>
      <c r="D38" s="14" t="s">
        <v>34</v>
      </c>
      <c r="E38" s="16" t="s">
        <v>62</v>
      </c>
      <c r="F38" s="16"/>
      <c r="G38" s="16"/>
    </row>
    <row r="39" spans="1:7" ht="12.75" x14ac:dyDescent="0.2">
      <c r="A39" s="14" t="s">
        <v>146</v>
      </c>
      <c r="B39" s="14" t="s">
        <v>147</v>
      </c>
      <c r="C39" s="14" t="s">
        <v>139</v>
      </c>
      <c r="D39" s="14" t="s">
        <v>10</v>
      </c>
      <c r="E39" s="16" t="s">
        <v>62</v>
      </c>
      <c r="F39" s="16"/>
      <c r="G39" s="16"/>
    </row>
    <row r="40" spans="1:7" ht="12.75" x14ac:dyDescent="0.2">
      <c r="A40" s="14" t="s">
        <v>137</v>
      </c>
      <c r="B40" s="14" t="s">
        <v>138</v>
      </c>
      <c r="C40" s="14" t="s">
        <v>139</v>
      </c>
      <c r="D40" s="14" t="s">
        <v>10</v>
      </c>
      <c r="E40" s="16" t="s">
        <v>77</v>
      </c>
      <c r="F40" s="16"/>
      <c r="G40" s="16"/>
    </row>
    <row r="41" spans="1:7" ht="12.75" x14ac:dyDescent="0.2">
      <c r="A41" s="14" t="s">
        <v>142</v>
      </c>
      <c r="B41" s="14" t="s">
        <v>143</v>
      </c>
      <c r="C41" s="14" t="s">
        <v>139</v>
      </c>
      <c r="D41" s="14" t="s">
        <v>10</v>
      </c>
      <c r="E41" s="16" t="s">
        <v>77</v>
      </c>
      <c r="F41" s="16"/>
      <c r="G41" s="16"/>
    </row>
    <row r="42" spans="1:7" ht="12.75" x14ac:dyDescent="0.2">
      <c r="A42" s="14" t="s">
        <v>140</v>
      </c>
      <c r="B42" s="14" t="s">
        <v>141</v>
      </c>
      <c r="C42" s="14" t="s">
        <v>139</v>
      </c>
      <c r="D42" s="14" t="s">
        <v>10</v>
      </c>
      <c r="E42" s="16" t="s">
        <v>77</v>
      </c>
      <c r="F42" s="16"/>
      <c r="G42" s="16"/>
    </row>
    <row r="43" spans="1:7" ht="12.75" x14ac:dyDescent="0.2">
      <c r="A43" s="14" t="s">
        <v>144</v>
      </c>
      <c r="B43" s="14" t="s">
        <v>145</v>
      </c>
      <c r="C43" s="14" t="s">
        <v>139</v>
      </c>
      <c r="D43" s="14" t="s">
        <v>34</v>
      </c>
      <c r="E43" s="16" t="s">
        <v>67</v>
      </c>
      <c r="F43" s="16"/>
      <c r="G43" s="16"/>
    </row>
    <row r="44" spans="1:7" ht="12.75" x14ac:dyDescent="0.2">
      <c r="A44" s="14" t="s">
        <v>148</v>
      </c>
      <c r="B44" s="14" t="s">
        <v>149</v>
      </c>
      <c r="C44" s="14" t="s">
        <v>139</v>
      </c>
      <c r="D44" s="14" t="s">
        <v>34</v>
      </c>
      <c r="E44" s="16" t="s">
        <v>150</v>
      </c>
      <c r="F44" s="16"/>
      <c r="G44" s="16"/>
    </row>
    <row r="45" spans="1:7" ht="12.75" x14ac:dyDescent="0.2">
      <c r="A45" s="14" t="s">
        <v>151</v>
      </c>
      <c r="B45" s="14" t="s">
        <v>152</v>
      </c>
      <c r="C45" s="14" t="s">
        <v>139</v>
      </c>
      <c r="D45" s="14" t="s">
        <v>10</v>
      </c>
      <c r="E45" s="16" t="s">
        <v>31</v>
      </c>
      <c r="F45" s="16"/>
      <c r="G45" s="16"/>
    </row>
    <row r="46" spans="1:7" ht="12.75" x14ac:dyDescent="0.2">
      <c r="A46" s="14" t="s">
        <v>153</v>
      </c>
      <c r="B46" s="14" t="s">
        <v>154</v>
      </c>
      <c r="C46" s="14" t="s">
        <v>139</v>
      </c>
      <c r="D46" s="14" t="s">
        <v>10</v>
      </c>
      <c r="E46" s="16" t="s">
        <v>155</v>
      </c>
      <c r="F46" s="16"/>
      <c r="G46" s="16"/>
    </row>
    <row r="47" spans="1:7" ht="12.75" x14ac:dyDescent="0.2">
      <c r="A47" s="14" t="s">
        <v>497</v>
      </c>
      <c r="B47" s="14" t="s">
        <v>498</v>
      </c>
      <c r="C47" s="14" t="s">
        <v>494</v>
      </c>
      <c r="D47" s="14" t="s">
        <v>45</v>
      </c>
      <c r="E47" s="16" t="s">
        <v>47</v>
      </c>
      <c r="F47" s="16"/>
      <c r="G47" s="16"/>
    </row>
    <row r="48" spans="1:7" ht="12.75" x14ac:dyDescent="0.2">
      <c r="A48" s="14" t="s">
        <v>156</v>
      </c>
      <c r="B48" s="14" t="s">
        <v>157</v>
      </c>
      <c r="C48" s="14" t="s">
        <v>158</v>
      </c>
      <c r="D48" s="14" t="s">
        <v>73</v>
      </c>
      <c r="E48" s="16" t="s">
        <v>67</v>
      </c>
      <c r="F48" s="16"/>
      <c r="G48" s="16"/>
    </row>
    <row r="49" spans="1:7" ht="12.75" x14ac:dyDescent="0.2">
      <c r="A49" s="14" t="s">
        <v>231</v>
      </c>
      <c r="B49" s="14" t="s">
        <v>232</v>
      </c>
      <c r="C49" s="14" t="s">
        <v>233</v>
      </c>
      <c r="D49" s="14" t="s">
        <v>45</v>
      </c>
      <c r="E49" s="16" t="s">
        <v>165</v>
      </c>
      <c r="F49" s="16"/>
      <c r="G49" s="16"/>
    </row>
    <row r="50" spans="1:7" ht="12.75" x14ac:dyDescent="0.2">
      <c r="A50" s="14" t="s">
        <v>499</v>
      </c>
      <c r="B50" s="14" t="s">
        <v>500</v>
      </c>
      <c r="C50" s="14" t="s">
        <v>494</v>
      </c>
      <c r="D50" s="14" t="s">
        <v>175</v>
      </c>
      <c r="E50" s="16" t="s">
        <v>47</v>
      </c>
      <c r="F50" s="16"/>
      <c r="G50" s="16"/>
    </row>
    <row r="51" spans="1:7" ht="12.75" x14ac:dyDescent="0.2">
      <c r="A51" s="14" t="s">
        <v>202</v>
      </c>
      <c r="B51" s="14" t="s">
        <v>203</v>
      </c>
      <c r="C51" s="14" t="s">
        <v>204</v>
      </c>
      <c r="D51" s="14" t="s">
        <v>22</v>
      </c>
      <c r="E51" s="16" t="s">
        <v>67</v>
      </c>
      <c r="F51" s="16"/>
      <c r="G51" s="16"/>
    </row>
    <row r="52" spans="1:7" ht="12.75" x14ac:dyDescent="0.2">
      <c r="A52" s="14" t="s">
        <v>243</v>
      </c>
      <c r="B52" s="14" t="s">
        <v>244</v>
      </c>
      <c r="C52" s="14" t="s">
        <v>245</v>
      </c>
      <c r="D52" s="14" t="s">
        <v>195</v>
      </c>
      <c r="E52" s="16" t="s">
        <v>18</v>
      </c>
      <c r="F52" s="16"/>
      <c r="G52" s="16"/>
    </row>
    <row r="53" spans="1:7" ht="12.75" x14ac:dyDescent="0.2">
      <c r="A53" s="14" t="s">
        <v>159</v>
      </c>
      <c r="B53" s="14" t="s">
        <v>160</v>
      </c>
      <c r="C53" s="14" t="s">
        <v>161</v>
      </c>
      <c r="D53" s="14" t="s">
        <v>10</v>
      </c>
      <c r="E53" s="16" t="s">
        <v>62</v>
      </c>
      <c r="F53" s="16"/>
      <c r="G53" s="16"/>
    </row>
    <row r="54" spans="1:7" ht="12.75" x14ac:dyDescent="0.2">
      <c r="A54" s="14" t="s">
        <v>162</v>
      </c>
      <c r="B54" s="14" t="s">
        <v>163</v>
      </c>
      <c r="C54" s="14" t="s">
        <v>164</v>
      </c>
      <c r="D54" s="14" t="s">
        <v>22</v>
      </c>
      <c r="E54" s="16" t="s">
        <v>165</v>
      </c>
      <c r="F54" s="16"/>
      <c r="G54" s="16"/>
    </row>
    <row r="55" spans="1:7" ht="12.75" x14ac:dyDescent="0.2">
      <c r="A55" s="14" t="s">
        <v>169</v>
      </c>
      <c r="B55" s="14" t="s">
        <v>170</v>
      </c>
      <c r="C55" s="14" t="s">
        <v>171</v>
      </c>
      <c r="D55" s="14" t="s">
        <v>34</v>
      </c>
      <c r="E55" s="16" t="s">
        <v>62</v>
      </c>
      <c r="F55" s="16"/>
      <c r="G55" s="16"/>
    </row>
    <row r="56" spans="1:7" ht="12.75" x14ac:dyDescent="0.2">
      <c r="A56" s="14" t="s">
        <v>501</v>
      </c>
      <c r="B56" s="14" t="s">
        <v>502</v>
      </c>
      <c r="C56" s="14" t="s">
        <v>494</v>
      </c>
      <c r="D56" s="14" t="s">
        <v>175</v>
      </c>
      <c r="E56" s="16" t="s">
        <v>47</v>
      </c>
      <c r="F56" s="16" t="s">
        <v>540</v>
      </c>
      <c r="G56" s="16"/>
    </row>
    <row r="57" spans="1:7" ht="12.75" x14ac:dyDescent="0.2">
      <c r="A57" s="14" t="s">
        <v>172</v>
      </c>
      <c r="B57" s="14" t="s">
        <v>173</v>
      </c>
      <c r="C57" s="14" t="s">
        <v>174</v>
      </c>
      <c r="D57" s="14" t="s">
        <v>175</v>
      </c>
      <c r="E57" s="16" t="s">
        <v>176</v>
      </c>
      <c r="F57" s="16"/>
      <c r="G57" s="16"/>
    </row>
    <row r="58" spans="1:7" ht="12.75" x14ac:dyDescent="0.2">
      <c r="A58" s="14" t="s">
        <v>180</v>
      </c>
      <c r="B58" s="14" t="s">
        <v>181</v>
      </c>
      <c r="C58" s="14" t="s">
        <v>182</v>
      </c>
      <c r="D58" s="14" t="s">
        <v>34</v>
      </c>
      <c r="E58" s="16" t="s">
        <v>183</v>
      </c>
      <c r="F58" s="16"/>
      <c r="G58" s="16"/>
    </row>
    <row r="59" spans="1:7" ht="12.75" x14ac:dyDescent="0.2">
      <c r="A59" s="14" t="s">
        <v>48</v>
      </c>
      <c r="B59" s="14" t="s">
        <v>49</v>
      </c>
      <c r="C59" s="14" t="s">
        <v>45</v>
      </c>
      <c r="D59" s="14" t="s">
        <v>45</v>
      </c>
      <c r="E59" s="16" t="s">
        <v>50</v>
      </c>
      <c r="F59" s="16"/>
      <c r="G59" s="16"/>
    </row>
    <row r="60" spans="1:7" ht="12.75" x14ac:dyDescent="0.2">
      <c r="A60" s="14" t="s">
        <v>51</v>
      </c>
      <c r="B60" s="14" t="s">
        <v>52</v>
      </c>
      <c r="C60" s="14" t="s">
        <v>45</v>
      </c>
      <c r="D60" s="14" t="s">
        <v>45</v>
      </c>
      <c r="E60" s="16" t="s">
        <v>53</v>
      </c>
      <c r="F60" s="16"/>
      <c r="G60" s="16"/>
    </row>
    <row r="61" spans="1:7" ht="12.75" x14ac:dyDescent="0.2">
      <c r="A61" s="14" t="s">
        <v>184</v>
      </c>
      <c r="B61" s="14" t="s">
        <v>185</v>
      </c>
      <c r="C61" s="14" t="s">
        <v>186</v>
      </c>
      <c r="D61" s="14" t="s">
        <v>10</v>
      </c>
      <c r="E61" s="16" t="s">
        <v>62</v>
      </c>
      <c r="F61" s="16"/>
      <c r="G61" s="16"/>
    </row>
    <row r="62" spans="1:7" ht="12.75" x14ac:dyDescent="0.2">
      <c r="A62" s="14" t="s">
        <v>187</v>
      </c>
      <c r="B62" s="14" t="s">
        <v>188</v>
      </c>
      <c r="C62" s="14" t="s">
        <v>186</v>
      </c>
      <c r="D62" s="14" t="s">
        <v>34</v>
      </c>
      <c r="E62" s="16" t="s">
        <v>67</v>
      </c>
      <c r="F62" s="16"/>
      <c r="G62" s="16"/>
    </row>
    <row r="63" spans="1:7" ht="12.75" x14ac:dyDescent="0.2">
      <c r="A63" s="14" t="s">
        <v>124</v>
      </c>
      <c r="B63" s="14" t="s">
        <v>125</v>
      </c>
      <c r="C63" s="14" t="s">
        <v>126</v>
      </c>
      <c r="D63" s="14" t="s">
        <v>22</v>
      </c>
      <c r="E63" s="16" t="s">
        <v>127</v>
      </c>
      <c r="F63" s="16"/>
      <c r="G63" s="16"/>
    </row>
    <row r="64" spans="1:7" ht="12.75" x14ac:dyDescent="0.2">
      <c r="A64" s="14" t="s">
        <v>96</v>
      </c>
      <c r="B64" s="14" t="s">
        <v>97</v>
      </c>
      <c r="C64" s="14" t="s">
        <v>98</v>
      </c>
      <c r="D64" s="14" t="s">
        <v>73</v>
      </c>
      <c r="E64" s="16" t="s">
        <v>35</v>
      </c>
      <c r="F64" s="16"/>
      <c r="G64" s="16"/>
    </row>
    <row r="65" spans="1:7" ht="12.75" x14ac:dyDescent="0.2">
      <c r="A65" s="14" t="s">
        <v>196</v>
      </c>
      <c r="B65" s="14" t="s">
        <v>197</v>
      </c>
      <c r="C65" s="14" t="s">
        <v>198</v>
      </c>
      <c r="D65" s="14" t="s">
        <v>73</v>
      </c>
      <c r="E65" s="16" t="s">
        <v>35</v>
      </c>
      <c r="F65" s="16"/>
      <c r="G65" s="16"/>
    </row>
    <row r="66" spans="1:7" ht="12.75" x14ac:dyDescent="0.2">
      <c r="A66" s="14" t="s">
        <v>192</v>
      </c>
      <c r="B66" s="14" t="s">
        <v>193</v>
      </c>
      <c r="C66" s="14" t="s">
        <v>194</v>
      </c>
      <c r="D66" s="14" t="s">
        <v>195</v>
      </c>
      <c r="E66" s="16" t="s">
        <v>95</v>
      </c>
      <c r="F66" s="16"/>
      <c r="G66" s="16"/>
    </row>
    <row r="67" spans="1:7" ht="12.75" x14ac:dyDescent="0.2">
      <c r="A67" s="14" t="s">
        <v>199</v>
      </c>
      <c r="B67" s="14" t="s">
        <v>200</v>
      </c>
      <c r="C67" s="14" t="s">
        <v>201</v>
      </c>
      <c r="D67" s="14" t="s">
        <v>10</v>
      </c>
      <c r="E67" s="16" t="s">
        <v>18</v>
      </c>
      <c r="F67" s="16"/>
      <c r="G67" s="16"/>
    </row>
    <row r="68" spans="1:7" ht="12.75" x14ac:dyDescent="0.2">
      <c r="A68" s="14" t="s">
        <v>207</v>
      </c>
      <c r="B68" s="14" t="s">
        <v>208</v>
      </c>
      <c r="C68" s="14" t="s">
        <v>209</v>
      </c>
      <c r="D68" s="14" t="s">
        <v>22</v>
      </c>
      <c r="E68" s="16" t="s">
        <v>57</v>
      </c>
      <c r="F68" s="16"/>
      <c r="G68" s="16"/>
    </row>
    <row r="69" spans="1:7" ht="12.75" x14ac:dyDescent="0.2">
      <c r="A69" s="14" t="s">
        <v>340</v>
      </c>
      <c r="B69" s="14" t="s">
        <v>341</v>
      </c>
      <c r="C69" s="14" t="s">
        <v>342</v>
      </c>
      <c r="D69" s="14" t="s">
        <v>195</v>
      </c>
      <c r="E69" s="16" t="s">
        <v>27</v>
      </c>
      <c r="F69" s="16"/>
      <c r="G69" s="16"/>
    </row>
    <row r="70" spans="1:7" ht="12.75" x14ac:dyDescent="0.2">
      <c r="A70" s="14" t="s">
        <v>522</v>
      </c>
      <c r="B70" s="14" t="s">
        <v>523</v>
      </c>
      <c r="C70" s="14" t="s">
        <v>524</v>
      </c>
      <c r="D70" s="14" t="s">
        <v>175</v>
      </c>
      <c r="E70" s="16" t="s">
        <v>165</v>
      </c>
      <c r="F70" s="16"/>
      <c r="G70" s="16"/>
    </row>
    <row r="71" spans="1:7" ht="12.75" x14ac:dyDescent="0.2">
      <c r="A71" s="14" t="s">
        <v>503</v>
      </c>
      <c r="B71" s="14" t="s">
        <v>504</v>
      </c>
      <c r="C71" s="14" t="s">
        <v>494</v>
      </c>
      <c r="D71" s="14" t="s">
        <v>175</v>
      </c>
      <c r="E71" s="16" t="s">
        <v>47</v>
      </c>
      <c r="F71" s="16"/>
      <c r="G71" s="16"/>
    </row>
    <row r="72" spans="1:7" ht="12.75" x14ac:dyDescent="0.2">
      <c r="A72" s="14" t="s">
        <v>505</v>
      </c>
      <c r="B72" s="14" t="s">
        <v>506</v>
      </c>
      <c r="C72" s="14" t="s">
        <v>494</v>
      </c>
      <c r="D72" s="14" t="s">
        <v>73</v>
      </c>
      <c r="E72" s="16" t="s">
        <v>47</v>
      </c>
      <c r="F72" s="16"/>
      <c r="G72" s="16"/>
    </row>
    <row r="73" spans="1:7" ht="12.75" x14ac:dyDescent="0.2">
      <c r="A73" s="14" t="s">
        <v>480</v>
      </c>
      <c r="B73" s="14" t="s">
        <v>481</v>
      </c>
      <c r="C73" s="14" t="s">
        <v>482</v>
      </c>
      <c r="D73" s="14" t="s">
        <v>22</v>
      </c>
      <c r="E73" s="16" t="s">
        <v>119</v>
      </c>
      <c r="F73" s="16"/>
      <c r="G73" s="16"/>
    </row>
    <row r="74" spans="1:7" ht="12.75" x14ac:dyDescent="0.2">
      <c r="A74" s="14" t="s">
        <v>227</v>
      </c>
      <c r="B74" s="14" t="s">
        <v>228</v>
      </c>
      <c r="C74" s="14" t="s">
        <v>229</v>
      </c>
      <c r="D74" s="14" t="s">
        <v>175</v>
      </c>
      <c r="E74" s="16" t="s">
        <v>230</v>
      </c>
      <c r="F74" s="16"/>
      <c r="G74" s="16"/>
    </row>
    <row r="75" spans="1:7" ht="12.75" x14ac:dyDescent="0.2">
      <c r="A75" s="14" t="s">
        <v>217</v>
      </c>
      <c r="B75" s="14" t="s">
        <v>218</v>
      </c>
      <c r="C75" s="14" t="s">
        <v>219</v>
      </c>
      <c r="D75" s="14" t="s">
        <v>22</v>
      </c>
      <c r="E75" s="16" t="s">
        <v>213</v>
      </c>
      <c r="F75" s="16"/>
      <c r="G75" s="16"/>
    </row>
    <row r="76" spans="1:7" ht="12.75" x14ac:dyDescent="0.2">
      <c r="A76" s="14" t="s">
        <v>166</v>
      </c>
      <c r="B76" s="14" t="s">
        <v>167</v>
      </c>
      <c r="C76" s="14" t="s">
        <v>168</v>
      </c>
      <c r="D76" s="14" t="s">
        <v>22</v>
      </c>
      <c r="E76" s="16" t="s">
        <v>89</v>
      </c>
      <c r="F76" s="16"/>
      <c r="G76" s="16"/>
    </row>
    <row r="77" spans="1:7" ht="12.75" x14ac:dyDescent="0.2">
      <c r="A77" s="14" t="s">
        <v>220</v>
      </c>
      <c r="B77" s="14" t="s">
        <v>221</v>
      </c>
      <c r="C77" s="14" t="s">
        <v>222</v>
      </c>
      <c r="D77" s="14" t="s">
        <v>34</v>
      </c>
      <c r="E77" s="16" t="s">
        <v>223</v>
      </c>
      <c r="F77" s="16"/>
      <c r="G77" s="16"/>
    </row>
    <row r="78" spans="1:7" ht="12.75" x14ac:dyDescent="0.2">
      <c r="A78" s="14" t="s">
        <v>234</v>
      </c>
      <c r="B78" s="14" t="s">
        <v>235</v>
      </c>
      <c r="C78" s="14" t="s">
        <v>236</v>
      </c>
      <c r="D78" s="14" t="s">
        <v>34</v>
      </c>
      <c r="E78" s="16" t="s">
        <v>57</v>
      </c>
      <c r="F78" s="16"/>
      <c r="G78" s="16"/>
    </row>
    <row r="79" spans="1:7" ht="12.75" x14ac:dyDescent="0.2">
      <c r="A79" s="14" t="s">
        <v>240</v>
      </c>
      <c r="B79" s="14" t="s">
        <v>241</v>
      </c>
      <c r="C79" s="14" t="s">
        <v>242</v>
      </c>
      <c r="D79" s="14" t="s">
        <v>10</v>
      </c>
      <c r="E79" s="16" t="s">
        <v>74</v>
      </c>
      <c r="F79" s="16"/>
      <c r="G79" s="16"/>
    </row>
    <row r="80" spans="1:7" ht="12.75" x14ac:dyDescent="0.2">
      <c r="A80" s="14" t="s">
        <v>254</v>
      </c>
      <c r="B80" s="14" t="s">
        <v>255</v>
      </c>
      <c r="C80" s="14" t="s">
        <v>245</v>
      </c>
      <c r="D80" s="14" t="s">
        <v>195</v>
      </c>
      <c r="E80" s="16" t="s">
        <v>77</v>
      </c>
      <c r="F80" s="16" t="s">
        <v>541</v>
      </c>
      <c r="G80" s="16"/>
    </row>
    <row r="81" spans="1:7" ht="12.75" x14ac:dyDescent="0.2">
      <c r="A81" s="14" t="s">
        <v>261</v>
      </c>
      <c r="B81" s="14" t="s">
        <v>262</v>
      </c>
      <c r="C81" s="14" t="s">
        <v>245</v>
      </c>
      <c r="D81" s="14" t="s">
        <v>34</v>
      </c>
      <c r="E81" s="16" t="s">
        <v>263</v>
      </c>
      <c r="F81" s="16"/>
      <c r="G81" s="16"/>
    </row>
    <row r="82" spans="1:7" ht="12.75" x14ac:dyDescent="0.2">
      <c r="A82" s="14" t="s">
        <v>264</v>
      </c>
      <c r="B82" s="14" t="s">
        <v>265</v>
      </c>
      <c r="C82" s="14" t="s">
        <v>245</v>
      </c>
      <c r="D82" s="14" t="s">
        <v>34</v>
      </c>
      <c r="E82" s="16" t="s">
        <v>127</v>
      </c>
      <c r="F82" s="16"/>
      <c r="G82" s="16"/>
    </row>
    <row r="83" spans="1:7" ht="12.75" x14ac:dyDescent="0.2">
      <c r="A83" s="14" t="s">
        <v>266</v>
      </c>
      <c r="B83" s="14" t="s">
        <v>267</v>
      </c>
      <c r="C83" s="14" t="s">
        <v>245</v>
      </c>
      <c r="D83" s="14" t="s">
        <v>34</v>
      </c>
      <c r="E83" s="16" t="s">
        <v>268</v>
      </c>
      <c r="F83" s="16"/>
      <c r="G83" s="16"/>
    </row>
    <row r="84" spans="1:7" ht="12.75" x14ac:dyDescent="0.2">
      <c r="A84" s="14" t="s">
        <v>246</v>
      </c>
      <c r="B84" s="14" t="s">
        <v>247</v>
      </c>
      <c r="C84" s="14" t="s">
        <v>245</v>
      </c>
      <c r="D84" s="14" t="s">
        <v>10</v>
      </c>
      <c r="E84" s="16" t="s">
        <v>14</v>
      </c>
      <c r="F84" s="16"/>
      <c r="G84" s="16"/>
    </row>
    <row r="85" spans="1:7" ht="12.75" x14ac:dyDescent="0.2">
      <c r="A85" s="14" t="s">
        <v>252</v>
      </c>
      <c r="B85" s="14" t="s">
        <v>253</v>
      </c>
      <c r="C85" s="14" t="s">
        <v>245</v>
      </c>
      <c r="D85" s="14" t="s">
        <v>10</v>
      </c>
      <c r="E85" s="16" t="s">
        <v>150</v>
      </c>
      <c r="F85" s="16"/>
      <c r="G85" s="16"/>
    </row>
    <row r="86" spans="1:7" ht="12.75" x14ac:dyDescent="0.2">
      <c r="A86" s="14" t="s">
        <v>248</v>
      </c>
      <c r="B86" s="14" t="s">
        <v>249</v>
      </c>
      <c r="C86" s="14" t="s">
        <v>245</v>
      </c>
      <c r="D86" s="14" t="s">
        <v>10</v>
      </c>
      <c r="E86" s="16" t="s">
        <v>14</v>
      </c>
      <c r="F86" s="16"/>
      <c r="G86" s="16"/>
    </row>
    <row r="87" spans="1:7" ht="12.75" x14ac:dyDescent="0.2">
      <c r="A87" s="14" t="s">
        <v>250</v>
      </c>
      <c r="B87" s="14" t="s">
        <v>251</v>
      </c>
      <c r="C87" s="14" t="s">
        <v>245</v>
      </c>
      <c r="D87" s="14" t="s">
        <v>10</v>
      </c>
      <c r="E87" s="16" t="s">
        <v>77</v>
      </c>
      <c r="F87" s="16"/>
      <c r="G87" s="16"/>
    </row>
    <row r="88" spans="1:7" ht="12.75" x14ac:dyDescent="0.2">
      <c r="A88" s="14" t="s">
        <v>237</v>
      </c>
      <c r="B88" s="14" t="s">
        <v>238</v>
      </c>
      <c r="C88" s="14" t="s">
        <v>239</v>
      </c>
      <c r="D88" s="14" t="s">
        <v>26</v>
      </c>
      <c r="E88" s="16" t="s">
        <v>27</v>
      </c>
      <c r="F88" s="16"/>
      <c r="G88" s="16"/>
    </row>
    <row r="89" spans="1:7" ht="12.75" x14ac:dyDescent="0.2">
      <c r="A89" s="14" t="s">
        <v>224</v>
      </c>
      <c r="B89" s="14" t="s">
        <v>225</v>
      </c>
      <c r="C89" s="14" t="s">
        <v>226</v>
      </c>
      <c r="D89" s="14" t="s">
        <v>26</v>
      </c>
      <c r="E89" s="16" t="s">
        <v>123</v>
      </c>
      <c r="F89" s="16"/>
      <c r="G89" s="16"/>
    </row>
    <row r="90" spans="1:7" ht="12.75" x14ac:dyDescent="0.2">
      <c r="A90" s="14" t="s">
        <v>385</v>
      </c>
      <c r="B90" s="14" t="s">
        <v>386</v>
      </c>
      <c r="C90" s="14" t="s">
        <v>362</v>
      </c>
      <c r="D90" s="14" t="s">
        <v>45</v>
      </c>
      <c r="E90" s="16" t="s">
        <v>50</v>
      </c>
      <c r="F90" s="16"/>
      <c r="G90" s="16"/>
    </row>
    <row r="91" spans="1:7" ht="12.75" x14ac:dyDescent="0.2">
      <c r="A91" s="14" t="s">
        <v>274</v>
      </c>
      <c r="B91" s="14" t="s">
        <v>275</v>
      </c>
      <c r="C91" s="17" t="s">
        <v>271</v>
      </c>
      <c r="D91" s="14" t="s">
        <v>34</v>
      </c>
      <c r="E91" s="16" t="s">
        <v>11</v>
      </c>
      <c r="F91" s="16"/>
      <c r="G91" s="16"/>
    </row>
    <row r="92" spans="1:7" ht="12.75" x14ac:dyDescent="0.2">
      <c r="A92" s="14" t="s">
        <v>276</v>
      </c>
      <c r="B92" s="14" t="s">
        <v>277</v>
      </c>
      <c r="C92" s="17" t="s">
        <v>271</v>
      </c>
      <c r="D92" s="14" t="s">
        <v>86</v>
      </c>
      <c r="E92" s="16" t="s">
        <v>106</v>
      </c>
      <c r="F92" s="16"/>
      <c r="G92" s="16"/>
    </row>
    <row r="93" spans="1:7" ht="12.75" x14ac:dyDescent="0.2">
      <c r="A93" s="14" t="s">
        <v>269</v>
      </c>
      <c r="B93" s="14" t="s">
        <v>270</v>
      </c>
      <c r="C93" s="17" t="s">
        <v>271</v>
      </c>
      <c r="D93" s="14" t="s">
        <v>10</v>
      </c>
      <c r="E93" s="16" t="s">
        <v>18</v>
      </c>
      <c r="F93" s="16"/>
      <c r="G93" s="16"/>
    </row>
    <row r="94" spans="1:7" ht="12.75" x14ac:dyDescent="0.2">
      <c r="A94" s="14" t="s">
        <v>272</v>
      </c>
      <c r="B94" s="14" t="s">
        <v>273</v>
      </c>
      <c r="C94" s="17" t="s">
        <v>271</v>
      </c>
      <c r="D94" s="14" t="s">
        <v>10</v>
      </c>
      <c r="E94" s="16" t="s">
        <v>62</v>
      </c>
      <c r="F94" s="16"/>
      <c r="G94" s="16"/>
    </row>
    <row r="95" spans="1:7" ht="12.75" x14ac:dyDescent="0.2">
      <c r="A95" s="14" t="s">
        <v>278</v>
      </c>
      <c r="B95" s="14" t="s">
        <v>279</v>
      </c>
      <c r="C95" s="17" t="s">
        <v>271</v>
      </c>
      <c r="D95" s="14" t="s">
        <v>34</v>
      </c>
      <c r="E95" s="16" t="s">
        <v>280</v>
      </c>
      <c r="F95" s="16"/>
      <c r="G95" s="16"/>
    </row>
    <row r="96" spans="1:7" ht="12.75" x14ac:dyDescent="0.2">
      <c r="A96" s="14" t="s">
        <v>281</v>
      </c>
      <c r="B96" s="14" t="s">
        <v>282</v>
      </c>
      <c r="C96" s="14" t="s">
        <v>271</v>
      </c>
      <c r="D96" s="14" t="s">
        <v>34</v>
      </c>
      <c r="E96" s="16" t="s">
        <v>74</v>
      </c>
      <c r="F96" s="16"/>
      <c r="G96" s="16"/>
    </row>
    <row r="97" spans="1:7" ht="12.75" x14ac:dyDescent="0.2">
      <c r="A97" s="14" t="s">
        <v>285</v>
      </c>
      <c r="B97" s="14" t="s">
        <v>286</v>
      </c>
      <c r="C97" s="14" t="s">
        <v>271</v>
      </c>
      <c r="D97" s="14" t="s">
        <v>34</v>
      </c>
      <c r="E97" s="16" t="s">
        <v>74</v>
      </c>
      <c r="F97" s="16"/>
      <c r="G97" s="16"/>
    </row>
    <row r="98" spans="1:7" ht="12.75" x14ac:dyDescent="0.2">
      <c r="A98" s="14" t="s">
        <v>283</v>
      </c>
      <c r="B98" s="14" t="s">
        <v>284</v>
      </c>
      <c r="C98" s="14" t="s">
        <v>271</v>
      </c>
      <c r="D98" s="14" t="s">
        <v>86</v>
      </c>
      <c r="E98" s="16" t="s">
        <v>74</v>
      </c>
      <c r="F98" s="16"/>
      <c r="G98" s="16"/>
    </row>
    <row r="99" spans="1:7" ht="12.75" x14ac:dyDescent="0.2">
      <c r="A99" s="14" t="s">
        <v>336</v>
      </c>
      <c r="B99" s="14" t="s">
        <v>337</v>
      </c>
      <c r="C99" s="14" t="s">
        <v>338</v>
      </c>
      <c r="D99" s="14" t="s">
        <v>73</v>
      </c>
      <c r="E99" s="16" t="s">
        <v>339</v>
      </c>
      <c r="F99" s="16"/>
      <c r="G99" s="16"/>
    </row>
    <row r="100" spans="1:7" ht="12.75" x14ac:dyDescent="0.2">
      <c r="A100" s="14" t="s">
        <v>302</v>
      </c>
      <c r="B100" s="14" t="s">
        <v>303</v>
      </c>
      <c r="C100" s="14" t="s">
        <v>289</v>
      </c>
      <c r="D100" s="14" t="s">
        <v>73</v>
      </c>
      <c r="E100" s="16" t="s">
        <v>304</v>
      </c>
      <c r="F100" s="16" t="s">
        <v>553</v>
      </c>
      <c r="G100" s="16"/>
    </row>
    <row r="101" spans="1:7" ht="12.75" x14ac:dyDescent="0.2">
      <c r="A101" s="14" t="s">
        <v>305</v>
      </c>
      <c r="B101" s="14" t="s">
        <v>306</v>
      </c>
      <c r="C101" s="14" t="s">
        <v>289</v>
      </c>
      <c r="D101" s="14" t="s">
        <v>34</v>
      </c>
      <c r="E101" s="16" t="s">
        <v>23</v>
      </c>
      <c r="F101" s="16" t="s">
        <v>544</v>
      </c>
      <c r="G101" s="16"/>
    </row>
    <row r="102" spans="1:7" ht="12.75" x14ac:dyDescent="0.2">
      <c r="A102" s="14" t="s">
        <v>307</v>
      </c>
      <c r="B102" s="14" t="s">
        <v>308</v>
      </c>
      <c r="C102" s="14" t="s">
        <v>289</v>
      </c>
      <c r="D102" s="14" t="s">
        <v>86</v>
      </c>
      <c r="E102" s="16" t="s">
        <v>89</v>
      </c>
      <c r="F102" s="16"/>
      <c r="G102" s="16"/>
    </row>
    <row r="103" spans="1:7" ht="12.75" x14ac:dyDescent="0.2">
      <c r="A103" s="14" t="s">
        <v>309</v>
      </c>
      <c r="B103" s="14" t="s">
        <v>310</v>
      </c>
      <c r="C103" s="14" t="s">
        <v>289</v>
      </c>
      <c r="D103" s="14" t="s">
        <v>73</v>
      </c>
      <c r="E103" s="16" t="s">
        <v>311</v>
      </c>
      <c r="F103" s="16" t="s">
        <v>552</v>
      </c>
      <c r="G103" s="16"/>
    </row>
    <row r="104" spans="1:7" ht="12.75" x14ac:dyDescent="0.2">
      <c r="A104" s="14" t="s">
        <v>312</v>
      </c>
      <c r="B104" s="14" t="s">
        <v>313</v>
      </c>
      <c r="C104" s="14" t="s">
        <v>289</v>
      </c>
      <c r="D104" s="14" t="s">
        <v>34</v>
      </c>
      <c r="E104" s="16" t="s">
        <v>77</v>
      </c>
      <c r="F104" s="16" t="s">
        <v>542</v>
      </c>
      <c r="G104" s="16"/>
    </row>
    <row r="105" spans="1:7" ht="12.75" x14ac:dyDescent="0.2">
      <c r="A105" s="14" t="s">
        <v>290</v>
      </c>
      <c r="B105" s="14" t="s">
        <v>291</v>
      </c>
      <c r="C105" s="14" t="s">
        <v>289</v>
      </c>
      <c r="D105" s="14" t="s">
        <v>86</v>
      </c>
      <c r="E105" s="16" t="s">
        <v>42</v>
      </c>
      <c r="F105" s="16"/>
      <c r="G105" s="16"/>
    </row>
    <row r="106" spans="1:7" ht="12.75" x14ac:dyDescent="0.2">
      <c r="A106" s="14" t="s">
        <v>287</v>
      </c>
      <c r="B106" s="14" t="s">
        <v>288</v>
      </c>
      <c r="C106" s="14" t="s">
        <v>289</v>
      </c>
      <c r="D106" s="14" t="s">
        <v>34</v>
      </c>
      <c r="E106" s="16" t="s">
        <v>14</v>
      </c>
      <c r="F106" s="16"/>
      <c r="G106" s="16"/>
    </row>
    <row r="107" spans="1:7" ht="12.75" x14ac:dyDescent="0.2">
      <c r="A107" s="14" t="s">
        <v>292</v>
      </c>
      <c r="B107" s="14" t="s">
        <v>293</v>
      </c>
      <c r="C107" s="14" t="s">
        <v>289</v>
      </c>
      <c r="D107" s="14" t="s">
        <v>73</v>
      </c>
      <c r="E107" s="16" t="s">
        <v>155</v>
      </c>
      <c r="F107" s="16"/>
      <c r="G107" s="16"/>
    </row>
    <row r="108" spans="1:7" ht="12.75" x14ac:dyDescent="0.2">
      <c r="A108" s="14" t="s">
        <v>294</v>
      </c>
      <c r="B108" s="14" t="s">
        <v>295</v>
      </c>
      <c r="C108" s="14" t="s">
        <v>289</v>
      </c>
      <c r="D108" s="14" t="s">
        <v>73</v>
      </c>
      <c r="E108" s="16" t="s">
        <v>74</v>
      </c>
      <c r="F108" s="16" t="s">
        <v>548</v>
      </c>
      <c r="G108" s="16"/>
    </row>
    <row r="109" spans="1:7" ht="12.75" x14ac:dyDescent="0.2">
      <c r="A109" s="14" t="s">
        <v>296</v>
      </c>
      <c r="B109" s="14" t="s">
        <v>297</v>
      </c>
      <c r="C109" s="14" t="s">
        <v>289</v>
      </c>
      <c r="D109" s="14" t="s">
        <v>73</v>
      </c>
      <c r="E109" s="16" t="s">
        <v>263</v>
      </c>
      <c r="F109" s="16" t="s">
        <v>551</v>
      </c>
      <c r="G109" s="16"/>
    </row>
    <row r="110" spans="1:7" ht="12.75" x14ac:dyDescent="0.2">
      <c r="A110" s="14" t="s">
        <v>298</v>
      </c>
      <c r="B110" s="14" t="s">
        <v>299</v>
      </c>
      <c r="C110" s="14" t="s">
        <v>289</v>
      </c>
      <c r="D110" s="14" t="s">
        <v>73</v>
      </c>
      <c r="E110" s="16" t="s">
        <v>27</v>
      </c>
      <c r="F110" s="16" t="s">
        <v>550</v>
      </c>
      <c r="G110" s="16"/>
    </row>
    <row r="111" spans="1:7" ht="12.75" x14ac:dyDescent="0.2">
      <c r="A111" s="14" t="s">
        <v>300</v>
      </c>
      <c r="B111" s="14" t="s">
        <v>301</v>
      </c>
      <c r="C111" s="14" t="s">
        <v>289</v>
      </c>
      <c r="D111" s="14" t="s">
        <v>34</v>
      </c>
      <c r="E111" s="16" t="s">
        <v>263</v>
      </c>
      <c r="F111" s="16" t="s">
        <v>545</v>
      </c>
      <c r="G111" s="16"/>
    </row>
    <row r="112" spans="1:7" ht="12.75" x14ac:dyDescent="0.2">
      <c r="A112" s="14" t="s">
        <v>314</v>
      </c>
      <c r="B112" s="14" t="s">
        <v>315</v>
      </c>
      <c r="C112" s="14" t="s">
        <v>289</v>
      </c>
      <c r="D112" s="14" t="s">
        <v>73</v>
      </c>
      <c r="E112" s="16" t="s">
        <v>263</v>
      </c>
      <c r="F112" s="16"/>
      <c r="G112" s="16"/>
    </row>
    <row r="113" spans="1:7" ht="12.75" x14ac:dyDescent="0.2">
      <c r="A113" s="14" t="s">
        <v>316</v>
      </c>
      <c r="B113" s="14" t="s">
        <v>317</v>
      </c>
      <c r="C113" s="14" t="s">
        <v>289</v>
      </c>
      <c r="D113" s="14" t="s">
        <v>86</v>
      </c>
      <c r="E113" s="16" t="s">
        <v>70</v>
      </c>
      <c r="F113" s="16"/>
      <c r="G113" s="16"/>
    </row>
    <row r="114" spans="1:7" ht="12.75" x14ac:dyDescent="0.2">
      <c r="A114" s="14" t="s">
        <v>318</v>
      </c>
      <c r="B114" s="14" t="s">
        <v>319</v>
      </c>
      <c r="C114" s="14" t="s">
        <v>289</v>
      </c>
      <c r="D114" s="14" t="s">
        <v>34</v>
      </c>
      <c r="E114" s="16" t="s">
        <v>35</v>
      </c>
      <c r="F114" s="16"/>
      <c r="G114" s="16"/>
    </row>
    <row r="115" spans="1:7" ht="12.75" x14ac:dyDescent="0.2">
      <c r="A115" s="14" t="s">
        <v>322</v>
      </c>
      <c r="B115" s="14" t="s">
        <v>323</v>
      </c>
      <c r="C115" s="14" t="s">
        <v>289</v>
      </c>
      <c r="D115" s="14" t="s">
        <v>34</v>
      </c>
      <c r="E115" s="16" t="s">
        <v>258</v>
      </c>
      <c r="F115" s="16" t="s">
        <v>543</v>
      </c>
      <c r="G115" s="16"/>
    </row>
    <row r="116" spans="1:7" ht="12.75" x14ac:dyDescent="0.2">
      <c r="A116" s="14" t="s">
        <v>324</v>
      </c>
      <c r="B116" s="14" t="s">
        <v>325</v>
      </c>
      <c r="C116" s="14" t="s">
        <v>289</v>
      </c>
      <c r="D116" s="14" t="s">
        <v>34</v>
      </c>
      <c r="E116" s="16" t="s">
        <v>150</v>
      </c>
      <c r="F116" s="16"/>
      <c r="G116" s="16"/>
    </row>
    <row r="117" spans="1:7" ht="12.75" x14ac:dyDescent="0.2">
      <c r="A117" s="14" t="s">
        <v>320</v>
      </c>
      <c r="B117" s="14" t="s">
        <v>321</v>
      </c>
      <c r="C117" s="14" t="s">
        <v>289</v>
      </c>
      <c r="D117" s="14" t="s">
        <v>86</v>
      </c>
      <c r="E117" s="16" t="s">
        <v>280</v>
      </c>
      <c r="F117" s="16"/>
      <c r="G117" s="16"/>
    </row>
    <row r="118" spans="1:7" ht="12.75" x14ac:dyDescent="0.2">
      <c r="A118" s="14" t="s">
        <v>326</v>
      </c>
      <c r="B118" s="14" t="s">
        <v>327</v>
      </c>
      <c r="C118" s="14" t="s">
        <v>289</v>
      </c>
      <c r="D118" s="14" t="s">
        <v>34</v>
      </c>
      <c r="E118" s="16" t="s">
        <v>119</v>
      </c>
      <c r="F118" s="16" t="s">
        <v>549</v>
      </c>
      <c r="G118" s="16"/>
    </row>
    <row r="119" spans="1:7" ht="12.75" x14ac:dyDescent="0.2">
      <c r="A119" s="14" t="s">
        <v>328</v>
      </c>
      <c r="B119" s="14" t="s">
        <v>329</v>
      </c>
      <c r="C119" s="14" t="s">
        <v>289</v>
      </c>
      <c r="D119" s="14" t="s">
        <v>73</v>
      </c>
      <c r="E119" s="16" t="s">
        <v>70</v>
      </c>
      <c r="F119" s="16"/>
      <c r="G119" s="16"/>
    </row>
    <row r="120" spans="1:7" ht="12.75" x14ac:dyDescent="0.2">
      <c r="A120" s="14" t="s">
        <v>330</v>
      </c>
      <c r="B120" s="14" t="s">
        <v>331</v>
      </c>
      <c r="C120" s="14" t="s">
        <v>289</v>
      </c>
      <c r="D120" s="14" t="s">
        <v>34</v>
      </c>
      <c r="E120" s="16" t="s">
        <v>332</v>
      </c>
      <c r="F120" s="16" t="s">
        <v>546</v>
      </c>
      <c r="G120" s="16"/>
    </row>
    <row r="121" spans="1:7" ht="12.75" x14ac:dyDescent="0.2">
      <c r="A121" s="14" t="s">
        <v>333</v>
      </c>
      <c r="B121" s="14" t="s">
        <v>334</v>
      </c>
      <c r="C121" s="14" t="s">
        <v>289</v>
      </c>
      <c r="D121" s="14" t="s">
        <v>34</v>
      </c>
      <c r="E121" s="16" t="s">
        <v>335</v>
      </c>
      <c r="F121" s="16" t="s">
        <v>547</v>
      </c>
      <c r="G121" s="16"/>
    </row>
    <row r="122" spans="1:7" ht="12.75" x14ac:dyDescent="0.2">
      <c r="A122" s="14" t="s">
        <v>407</v>
      </c>
      <c r="B122" s="14" t="s">
        <v>408</v>
      </c>
      <c r="C122" s="14" t="s">
        <v>409</v>
      </c>
      <c r="D122" s="14" t="s">
        <v>22</v>
      </c>
      <c r="E122" s="16" t="s">
        <v>339</v>
      </c>
      <c r="F122" s="16"/>
      <c r="G122" s="16"/>
    </row>
    <row r="123" spans="1:7" ht="12.75" x14ac:dyDescent="0.2">
      <c r="A123" s="14" t="s">
        <v>483</v>
      </c>
      <c r="B123" s="14" t="s">
        <v>484</v>
      </c>
      <c r="C123" s="14" t="s">
        <v>485</v>
      </c>
      <c r="D123" s="14" t="s">
        <v>34</v>
      </c>
      <c r="E123" s="16" t="s">
        <v>14</v>
      </c>
      <c r="F123" s="16"/>
      <c r="G123" s="16"/>
    </row>
    <row r="124" spans="1:7" ht="12.75" x14ac:dyDescent="0.2">
      <c r="A124" s="14" t="s">
        <v>343</v>
      </c>
      <c r="B124" s="14" t="s">
        <v>344</v>
      </c>
      <c r="C124" s="14" t="s">
        <v>345</v>
      </c>
      <c r="D124" s="14" t="s">
        <v>195</v>
      </c>
      <c r="E124" s="16" t="s">
        <v>123</v>
      </c>
      <c r="F124" s="16"/>
      <c r="G124" s="16"/>
    </row>
    <row r="125" spans="1:7" ht="12.75" x14ac:dyDescent="0.2">
      <c r="A125" s="14" t="s">
        <v>507</v>
      </c>
      <c r="B125" s="14" t="s">
        <v>508</v>
      </c>
      <c r="C125" s="14" t="s">
        <v>494</v>
      </c>
      <c r="D125" s="14" t="s">
        <v>175</v>
      </c>
      <c r="E125" s="16" t="s">
        <v>47</v>
      </c>
      <c r="F125" s="16"/>
      <c r="G125" s="16"/>
    </row>
    <row r="126" spans="1:7" ht="12.75" x14ac:dyDescent="0.2">
      <c r="A126" s="14" t="s">
        <v>349</v>
      </c>
      <c r="B126" s="14" t="s">
        <v>350</v>
      </c>
      <c r="C126" s="14" t="s">
        <v>351</v>
      </c>
      <c r="D126" s="14" t="s">
        <v>34</v>
      </c>
      <c r="E126" s="16" t="s">
        <v>150</v>
      </c>
      <c r="F126" s="16"/>
      <c r="G126" s="16"/>
    </row>
    <row r="127" spans="1:7" ht="12.75" x14ac:dyDescent="0.2">
      <c r="A127" s="14" t="s">
        <v>352</v>
      </c>
      <c r="B127" s="14" t="s">
        <v>353</v>
      </c>
      <c r="C127" s="14" t="s">
        <v>351</v>
      </c>
      <c r="D127" s="14" t="s">
        <v>34</v>
      </c>
      <c r="E127" s="16" t="s">
        <v>223</v>
      </c>
      <c r="F127" s="16"/>
      <c r="G127" s="16"/>
    </row>
    <row r="128" spans="1:7" ht="12.75" x14ac:dyDescent="0.2">
      <c r="A128" s="14" t="s">
        <v>214</v>
      </c>
      <c r="B128" s="14" t="s">
        <v>215</v>
      </c>
      <c r="C128" s="14" t="s">
        <v>216</v>
      </c>
      <c r="D128" s="14" t="s">
        <v>22</v>
      </c>
      <c r="E128" s="16" t="s">
        <v>213</v>
      </c>
      <c r="F128" s="16"/>
      <c r="G128" s="16"/>
    </row>
    <row r="129" spans="1:7" ht="12.75" x14ac:dyDescent="0.2">
      <c r="A129" s="14" t="s">
        <v>509</v>
      </c>
      <c r="B129" s="14" t="s">
        <v>510</v>
      </c>
      <c r="C129" s="14" t="s">
        <v>494</v>
      </c>
      <c r="D129" s="14" t="s">
        <v>175</v>
      </c>
      <c r="E129" s="16" t="s">
        <v>47</v>
      </c>
      <c r="F129" s="16" t="s">
        <v>566</v>
      </c>
      <c r="G129" s="16"/>
    </row>
    <row r="130" spans="1:7" ht="12.75" x14ac:dyDescent="0.2">
      <c r="A130" s="14" t="s">
        <v>205</v>
      </c>
      <c r="B130" s="14" t="s">
        <v>206</v>
      </c>
      <c r="C130" s="14" t="s">
        <v>204</v>
      </c>
      <c r="D130" s="14" t="s">
        <v>22</v>
      </c>
      <c r="E130" s="16" t="s">
        <v>23</v>
      </c>
      <c r="F130" s="16"/>
      <c r="G130" s="16"/>
    </row>
    <row r="131" spans="1:7" ht="12.75" x14ac:dyDescent="0.2">
      <c r="A131" s="14" t="s">
        <v>354</v>
      </c>
      <c r="B131" s="14" t="s">
        <v>355</v>
      </c>
      <c r="C131" s="14" t="s">
        <v>356</v>
      </c>
      <c r="D131" s="14" t="s">
        <v>45</v>
      </c>
      <c r="E131" s="16" t="s">
        <v>339</v>
      </c>
      <c r="F131" s="16"/>
      <c r="G131" s="16"/>
    </row>
    <row r="132" spans="1:7" ht="12.75" x14ac:dyDescent="0.2">
      <c r="A132" s="14" t="s">
        <v>357</v>
      </c>
      <c r="B132" s="14" t="s">
        <v>358</v>
      </c>
      <c r="C132" s="14" t="s">
        <v>359</v>
      </c>
      <c r="D132" s="14" t="s">
        <v>22</v>
      </c>
      <c r="E132" s="16" t="s">
        <v>263</v>
      </c>
      <c r="F132" s="16"/>
      <c r="G132" s="16"/>
    </row>
    <row r="133" spans="1:7" ht="12.75" x14ac:dyDescent="0.2">
      <c r="A133" s="14" t="s">
        <v>399</v>
      </c>
      <c r="B133" s="14" t="s">
        <v>400</v>
      </c>
      <c r="C133" s="14" t="s">
        <v>362</v>
      </c>
      <c r="D133" s="14" t="s">
        <v>86</v>
      </c>
      <c r="E133" s="16" t="s">
        <v>258</v>
      </c>
      <c r="F133" s="16" t="s">
        <v>556</v>
      </c>
      <c r="G133" s="16"/>
    </row>
    <row r="134" spans="1:7" ht="12.75" x14ac:dyDescent="0.2">
      <c r="A134" s="14" t="s">
        <v>360</v>
      </c>
      <c r="B134" s="14" t="s">
        <v>361</v>
      </c>
      <c r="C134" s="14" t="s">
        <v>362</v>
      </c>
      <c r="D134" s="14" t="s">
        <v>34</v>
      </c>
      <c r="E134" s="16" t="s">
        <v>27</v>
      </c>
      <c r="F134" s="16" t="s">
        <v>558</v>
      </c>
      <c r="G134" s="16"/>
    </row>
    <row r="135" spans="1:7" ht="12.75" x14ac:dyDescent="0.2">
      <c r="A135" s="14" t="s">
        <v>363</v>
      </c>
      <c r="B135" s="14" t="s">
        <v>364</v>
      </c>
      <c r="C135" s="14" t="s">
        <v>362</v>
      </c>
      <c r="D135" s="14" t="s">
        <v>73</v>
      </c>
      <c r="E135" s="16" t="s">
        <v>35</v>
      </c>
      <c r="F135" s="16" t="s">
        <v>559</v>
      </c>
      <c r="G135" s="16"/>
    </row>
    <row r="136" spans="1:7" ht="12.75" x14ac:dyDescent="0.2">
      <c r="A136" s="14" t="s">
        <v>365</v>
      </c>
      <c r="B136" s="14" t="s">
        <v>366</v>
      </c>
      <c r="C136" s="14" t="s">
        <v>362</v>
      </c>
      <c r="D136" s="14" t="s">
        <v>34</v>
      </c>
      <c r="E136" s="16" t="s">
        <v>74</v>
      </c>
      <c r="F136" s="16" t="s">
        <v>555</v>
      </c>
      <c r="G136" s="16"/>
    </row>
    <row r="137" spans="1:7" ht="12.75" x14ac:dyDescent="0.2">
      <c r="A137" s="14" t="s">
        <v>397</v>
      </c>
      <c r="B137" s="14" t="s">
        <v>398</v>
      </c>
      <c r="C137" s="14" t="s">
        <v>362</v>
      </c>
      <c r="D137" s="14" t="s">
        <v>86</v>
      </c>
      <c r="E137" s="16" t="s">
        <v>280</v>
      </c>
      <c r="F137" s="16"/>
      <c r="G137" s="16"/>
    </row>
    <row r="138" spans="1:7" ht="12.75" x14ac:dyDescent="0.2">
      <c r="A138" s="14" t="s">
        <v>369</v>
      </c>
      <c r="B138" s="14" t="s">
        <v>370</v>
      </c>
      <c r="C138" s="14" t="s">
        <v>362</v>
      </c>
      <c r="D138" s="14" t="s">
        <v>34</v>
      </c>
      <c r="E138" s="16" t="s">
        <v>77</v>
      </c>
      <c r="F138" s="16"/>
      <c r="G138" s="16"/>
    </row>
    <row r="139" spans="1:7" ht="12.75" x14ac:dyDescent="0.2">
      <c r="A139" s="14" t="s">
        <v>367</v>
      </c>
      <c r="B139" s="14" t="s">
        <v>368</v>
      </c>
      <c r="C139" s="14" t="s">
        <v>362</v>
      </c>
      <c r="D139" s="14" t="s">
        <v>34</v>
      </c>
      <c r="E139" s="16" t="s">
        <v>42</v>
      </c>
      <c r="F139" s="16" t="s">
        <v>554</v>
      </c>
      <c r="G139" s="16"/>
    </row>
    <row r="140" spans="1:7" ht="12.75" x14ac:dyDescent="0.2">
      <c r="A140" s="14" t="s">
        <v>375</v>
      </c>
      <c r="B140" s="14" t="s">
        <v>376</v>
      </c>
      <c r="C140" s="14" t="s">
        <v>362</v>
      </c>
      <c r="D140" s="14" t="s">
        <v>34</v>
      </c>
      <c r="E140" s="16" t="s">
        <v>35</v>
      </c>
      <c r="F140" s="16"/>
      <c r="G140" s="16"/>
    </row>
    <row r="141" spans="1:7" ht="12.75" x14ac:dyDescent="0.2">
      <c r="A141" s="14" t="s">
        <v>377</v>
      </c>
      <c r="B141" s="14" t="s">
        <v>378</v>
      </c>
      <c r="C141" s="14" t="s">
        <v>362</v>
      </c>
      <c r="D141" s="14" t="s">
        <v>34</v>
      </c>
      <c r="E141" s="16" t="s">
        <v>106</v>
      </c>
      <c r="F141" s="16"/>
      <c r="G141" s="16"/>
    </row>
    <row r="142" spans="1:7" ht="12.75" x14ac:dyDescent="0.2">
      <c r="A142" s="14" t="s">
        <v>393</v>
      </c>
      <c r="B142" s="14" t="s">
        <v>394</v>
      </c>
      <c r="C142" s="14" t="s">
        <v>362</v>
      </c>
      <c r="D142" s="14" t="s">
        <v>86</v>
      </c>
      <c r="E142" s="16" t="s">
        <v>280</v>
      </c>
      <c r="F142" s="16"/>
      <c r="G142" s="16"/>
    </row>
    <row r="143" spans="1:7" ht="12.75" x14ac:dyDescent="0.2">
      <c r="A143" s="14" t="s">
        <v>371</v>
      </c>
      <c r="B143" s="14" t="s">
        <v>372</v>
      </c>
      <c r="C143" s="14" t="s">
        <v>362</v>
      </c>
      <c r="D143" s="14" t="s">
        <v>86</v>
      </c>
      <c r="E143" s="16" t="s">
        <v>67</v>
      </c>
      <c r="F143" s="16"/>
      <c r="G143" s="16"/>
    </row>
    <row r="144" spans="1:7" ht="12.75" x14ac:dyDescent="0.2">
      <c r="A144" s="14" t="s">
        <v>373</v>
      </c>
      <c r="B144" s="14" t="s">
        <v>374</v>
      </c>
      <c r="C144" s="14" t="s">
        <v>362</v>
      </c>
      <c r="D144" s="14" t="s">
        <v>86</v>
      </c>
      <c r="E144" s="16" t="s">
        <v>150</v>
      </c>
      <c r="F144" s="16"/>
      <c r="G144" s="16"/>
    </row>
    <row r="145" spans="1:7" ht="12.75" x14ac:dyDescent="0.2">
      <c r="A145" s="14" t="s">
        <v>379</v>
      </c>
      <c r="B145" s="14" t="s">
        <v>380</v>
      </c>
      <c r="C145" s="14" t="s">
        <v>362</v>
      </c>
      <c r="D145" s="14" t="s">
        <v>45</v>
      </c>
      <c r="E145" s="16" t="s">
        <v>67</v>
      </c>
      <c r="F145" s="16"/>
      <c r="G145" s="16"/>
    </row>
    <row r="146" spans="1:7" ht="12.75" x14ac:dyDescent="0.2">
      <c r="A146" s="14" t="s">
        <v>381</v>
      </c>
      <c r="B146" s="14" t="s">
        <v>382</v>
      </c>
      <c r="C146" s="14" t="s">
        <v>362</v>
      </c>
      <c r="D146" s="14" t="s">
        <v>45</v>
      </c>
      <c r="E146" s="16" t="s">
        <v>23</v>
      </c>
      <c r="F146" s="16"/>
      <c r="G146" s="16"/>
    </row>
    <row r="147" spans="1:7" ht="12.75" x14ac:dyDescent="0.2">
      <c r="A147" s="14" t="s">
        <v>383</v>
      </c>
      <c r="B147" s="14" t="s">
        <v>384</v>
      </c>
      <c r="C147" s="14" t="s">
        <v>362</v>
      </c>
      <c r="D147" s="14" t="s">
        <v>45</v>
      </c>
      <c r="E147" s="16" t="s">
        <v>27</v>
      </c>
      <c r="F147" s="16"/>
      <c r="G147" s="16"/>
    </row>
    <row r="148" spans="1:7" ht="12.75" x14ac:dyDescent="0.2">
      <c r="A148" s="14" t="s">
        <v>387</v>
      </c>
      <c r="B148" s="14" t="s">
        <v>388</v>
      </c>
      <c r="C148" s="14" t="s">
        <v>362</v>
      </c>
      <c r="D148" s="14" t="s">
        <v>45</v>
      </c>
      <c r="E148" s="16" t="s">
        <v>27</v>
      </c>
      <c r="F148" s="16"/>
      <c r="G148" s="16"/>
    </row>
    <row r="149" spans="1:7" ht="12.75" x14ac:dyDescent="0.2">
      <c r="A149" s="14" t="s">
        <v>389</v>
      </c>
      <c r="B149" s="14" t="s">
        <v>390</v>
      </c>
      <c r="C149" s="14" t="s">
        <v>362</v>
      </c>
      <c r="D149" s="14" t="s">
        <v>34</v>
      </c>
      <c r="E149" s="16" t="s">
        <v>70</v>
      </c>
      <c r="F149" s="16" t="s">
        <v>557</v>
      </c>
      <c r="G149" s="16"/>
    </row>
    <row r="150" spans="1:7" ht="12.75" x14ac:dyDescent="0.2">
      <c r="A150" s="14" t="s">
        <v>391</v>
      </c>
      <c r="B150" s="14" t="s">
        <v>392</v>
      </c>
      <c r="C150" s="14" t="s">
        <v>362</v>
      </c>
      <c r="D150" s="14" t="s">
        <v>34</v>
      </c>
      <c r="E150" s="16" t="s">
        <v>280</v>
      </c>
      <c r="F150" s="16"/>
      <c r="G150" s="16"/>
    </row>
    <row r="151" spans="1:7" ht="12.75" x14ac:dyDescent="0.2">
      <c r="A151" s="14" t="s">
        <v>401</v>
      </c>
      <c r="B151" s="14" t="s">
        <v>402</v>
      </c>
      <c r="C151" s="14" t="s">
        <v>362</v>
      </c>
      <c r="D151" s="14" t="s">
        <v>34</v>
      </c>
      <c r="E151" s="16" t="s">
        <v>14</v>
      </c>
      <c r="F151" s="16"/>
      <c r="G151" s="16"/>
    </row>
    <row r="152" spans="1:7" ht="12.75" x14ac:dyDescent="0.2">
      <c r="A152" s="14" t="s">
        <v>395</v>
      </c>
      <c r="B152" s="14" t="s">
        <v>396</v>
      </c>
      <c r="C152" s="14" t="s">
        <v>362</v>
      </c>
      <c r="D152" s="14" t="s">
        <v>86</v>
      </c>
      <c r="E152" s="16" t="s">
        <v>280</v>
      </c>
      <c r="F152" s="16"/>
      <c r="G152" s="16"/>
    </row>
    <row r="153" spans="1:7" ht="12.75" x14ac:dyDescent="0.2">
      <c r="A153" s="14" t="s">
        <v>410</v>
      </c>
      <c r="B153" s="14" t="s">
        <v>411</v>
      </c>
      <c r="C153" s="14" t="s">
        <v>412</v>
      </c>
      <c r="D153" s="14" t="s">
        <v>10</v>
      </c>
      <c r="E153" s="16" t="s">
        <v>62</v>
      </c>
      <c r="F153" s="16"/>
      <c r="G153" s="16"/>
    </row>
    <row r="154" spans="1:7" ht="12.75" x14ac:dyDescent="0.2">
      <c r="A154" s="14" t="s">
        <v>413</v>
      </c>
      <c r="B154" s="14" t="s">
        <v>414</v>
      </c>
      <c r="C154" s="14" t="s">
        <v>412</v>
      </c>
      <c r="D154" s="14" t="s">
        <v>10</v>
      </c>
      <c r="E154" s="16" t="s">
        <v>11</v>
      </c>
      <c r="F154" s="16"/>
      <c r="G154" s="16"/>
    </row>
    <row r="155" spans="1:7" ht="12.75" x14ac:dyDescent="0.2">
      <c r="A155" s="14" t="s">
        <v>420</v>
      </c>
      <c r="B155" s="14" t="s">
        <v>421</v>
      </c>
      <c r="C155" s="14" t="s">
        <v>417</v>
      </c>
      <c r="D155" s="14" t="s">
        <v>10</v>
      </c>
      <c r="E155" s="16" t="s">
        <v>62</v>
      </c>
      <c r="F155" s="16"/>
      <c r="G155" s="16"/>
    </row>
    <row r="156" spans="1:7" ht="12.75" x14ac:dyDescent="0.2">
      <c r="A156" s="14" t="s">
        <v>418</v>
      </c>
      <c r="B156" s="14" t="s">
        <v>419</v>
      </c>
      <c r="C156" s="14" t="s">
        <v>417</v>
      </c>
      <c r="D156" s="14" t="s">
        <v>10</v>
      </c>
      <c r="E156" s="16" t="s">
        <v>119</v>
      </c>
      <c r="F156" s="16"/>
      <c r="G156" s="16"/>
    </row>
    <row r="157" spans="1:7" ht="12.75" x14ac:dyDescent="0.2">
      <c r="A157" s="14" t="s">
        <v>415</v>
      </c>
      <c r="B157" s="14" t="s">
        <v>416</v>
      </c>
      <c r="C157" s="14" t="s">
        <v>417</v>
      </c>
      <c r="D157" s="14" t="s">
        <v>10</v>
      </c>
      <c r="E157" s="16" t="s">
        <v>18</v>
      </c>
      <c r="F157" s="16"/>
      <c r="G157" s="16"/>
    </row>
    <row r="158" spans="1:7" ht="12.75" x14ac:dyDescent="0.2">
      <c r="A158" s="14" t="s">
        <v>422</v>
      </c>
      <c r="B158" s="14" t="s">
        <v>423</v>
      </c>
      <c r="C158" s="14" t="s">
        <v>424</v>
      </c>
      <c r="D158" s="14" t="s">
        <v>34</v>
      </c>
      <c r="E158" s="16" t="s">
        <v>62</v>
      </c>
      <c r="F158" s="16"/>
      <c r="G158" s="16"/>
    </row>
    <row r="159" spans="1:7" ht="12.75" x14ac:dyDescent="0.2">
      <c r="A159" s="14" t="s">
        <v>425</v>
      </c>
      <c r="B159" s="14" t="s">
        <v>426</v>
      </c>
      <c r="C159" s="14" t="s">
        <v>427</v>
      </c>
      <c r="D159" s="14" t="s">
        <v>34</v>
      </c>
      <c r="E159" s="16" t="s">
        <v>35</v>
      </c>
      <c r="F159" s="16" t="s">
        <v>560</v>
      </c>
      <c r="G159" s="16"/>
    </row>
    <row r="160" spans="1:7" ht="12.75" x14ac:dyDescent="0.2">
      <c r="A160" s="14" t="s">
        <v>428</v>
      </c>
      <c r="B160" s="14" t="s">
        <v>429</v>
      </c>
      <c r="C160" s="14" t="s">
        <v>427</v>
      </c>
      <c r="D160" s="14" t="s">
        <v>34</v>
      </c>
      <c r="E160" s="16" t="s">
        <v>280</v>
      </c>
      <c r="F160" s="16"/>
      <c r="G160" s="16"/>
    </row>
    <row r="161" spans="1:7" ht="12.75" x14ac:dyDescent="0.2">
      <c r="A161" s="14" t="s">
        <v>430</v>
      </c>
      <c r="B161" s="14" t="s">
        <v>431</v>
      </c>
      <c r="C161" s="14" t="s">
        <v>427</v>
      </c>
      <c r="D161" s="14" t="s">
        <v>34</v>
      </c>
      <c r="E161" s="16" t="s">
        <v>280</v>
      </c>
      <c r="F161" s="16"/>
      <c r="G161" s="16"/>
    </row>
    <row r="162" spans="1:7" ht="12.75" x14ac:dyDescent="0.2">
      <c r="A162" s="14" t="s">
        <v>432</v>
      </c>
      <c r="B162" s="14" t="s">
        <v>433</v>
      </c>
      <c r="C162" s="14" t="s">
        <v>427</v>
      </c>
      <c r="D162" s="14" t="s">
        <v>73</v>
      </c>
      <c r="E162" s="16" t="s">
        <v>27</v>
      </c>
      <c r="F162" s="16"/>
      <c r="G162" s="16"/>
    </row>
    <row r="163" spans="1:7" ht="12.75" x14ac:dyDescent="0.2">
      <c r="A163" s="14" t="s">
        <v>434</v>
      </c>
      <c r="B163" s="14" t="s">
        <v>435</v>
      </c>
      <c r="C163" s="14" t="s">
        <v>427</v>
      </c>
      <c r="D163" s="14" t="s">
        <v>73</v>
      </c>
      <c r="E163" s="16" t="s">
        <v>89</v>
      </c>
      <c r="F163" s="16"/>
      <c r="G163" s="16"/>
    </row>
    <row r="164" spans="1:7" ht="12.75" x14ac:dyDescent="0.2">
      <c r="A164" s="14" t="s">
        <v>128</v>
      </c>
      <c r="B164" s="14" t="s">
        <v>129</v>
      </c>
      <c r="C164" s="14" t="s">
        <v>130</v>
      </c>
      <c r="D164" s="14" t="s">
        <v>22</v>
      </c>
      <c r="E164" s="16" t="s">
        <v>131</v>
      </c>
      <c r="F164" s="16"/>
      <c r="G164" s="16"/>
    </row>
    <row r="165" spans="1:7" ht="12.75" x14ac:dyDescent="0.2">
      <c r="A165" s="14" t="s">
        <v>447</v>
      </c>
      <c r="B165" s="14" t="s">
        <v>448</v>
      </c>
      <c r="C165" s="14" t="s">
        <v>438</v>
      </c>
      <c r="D165" s="14" t="s">
        <v>34</v>
      </c>
      <c r="E165" s="16" t="s">
        <v>280</v>
      </c>
      <c r="F165" s="16" t="s">
        <v>561</v>
      </c>
      <c r="G165" s="16"/>
    </row>
    <row r="166" spans="1:7" ht="12.75" x14ac:dyDescent="0.2">
      <c r="A166" s="14" t="s">
        <v>436</v>
      </c>
      <c r="B166" s="14" t="s">
        <v>437</v>
      </c>
      <c r="C166" s="14" t="s">
        <v>438</v>
      </c>
      <c r="D166" s="14" t="s">
        <v>34</v>
      </c>
      <c r="E166" s="16" t="s">
        <v>50</v>
      </c>
      <c r="F166" s="16" t="s">
        <v>562</v>
      </c>
      <c r="G166" s="16"/>
    </row>
    <row r="167" spans="1:7" ht="12.75" x14ac:dyDescent="0.2">
      <c r="A167" s="14" t="s">
        <v>439</v>
      </c>
      <c r="B167" s="14" t="s">
        <v>440</v>
      </c>
      <c r="C167" s="14" t="s">
        <v>438</v>
      </c>
      <c r="D167" s="14" t="s">
        <v>34</v>
      </c>
      <c r="E167" s="16" t="s">
        <v>332</v>
      </c>
      <c r="F167" s="16" t="s">
        <v>563</v>
      </c>
      <c r="G167" s="16"/>
    </row>
    <row r="168" spans="1:7" ht="12.75" x14ac:dyDescent="0.2">
      <c r="A168" s="14" t="s">
        <v>441</v>
      </c>
      <c r="B168" s="14" t="s">
        <v>442</v>
      </c>
      <c r="C168" s="14" t="s">
        <v>438</v>
      </c>
      <c r="D168" s="14" t="s">
        <v>34</v>
      </c>
      <c r="E168" s="16" t="s">
        <v>268</v>
      </c>
      <c r="F168" s="16"/>
      <c r="G168" s="16"/>
    </row>
    <row r="169" spans="1:7" ht="12.75" x14ac:dyDescent="0.2">
      <c r="A169" s="14" t="s">
        <v>443</v>
      </c>
      <c r="B169" s="14" t="s">
        <v>444</v>
      </c>
      <c r="C169" s="14" t="s">
        <v>438</v>
      </c>
      <c r="D169" s="14" t="s">
        <v>73</v>
      </c>
      <c r="E169" s="16" t="s">
        <v>311</v>
      </c>
      <c r="F169" s="16" t="s">
        <v>564</v>
      </c>
      <c r="G169" s="16"/>
    </row>
    <row r="170" spans="1:7" ht="12.75" x14ac:dyDescent="0.2">
      <c r="A170" s="14" t="s">
        <v>445</v>
      </c>
      <c r="B170" s="14" t="s">
        <v>446</v>
      </c>
      <c r="C170" s="14" t="s">
        <v>438</v>
      </c>
      <c r="D170" s="14" t="s">
        <v>73</v>
      </c>
      <c r="E170" s="16" t="s">
        <v>304</v>
      </c>
      <c r="F170" s="16" t="s">
        <v>565</v>
      </c>
      <c r="G170" s="16"/>
    </row>
    <row r="171" spans="1:7" ht="12.75" x14ac:dyDescent="0.2">
      <c r="A171" s="14" t="s">
        <v>449</v>
      </c>
      <c r="B171" s="14" t="s">
        <v>450</v>
      </c>
      <c r="C171" s="14" t="s">
        <v>449</v>
      </c>
      <c r="D171" s="14" t="s">
        <v>34</v>
      </c>
      <c r="E171" s="16" t="s">
        <v>14</v>
      </c>
      <c r="F171" s="16"/>
      <c r="G171" s="16"/>
    </row>
    <row r="172" spans="1:7" ht="12.75" x14ac:dyDescent="0.2">
      <c r="A172" s="14" t="s">
        <v>403</v>
      </c>
      <c r="B172" s="14" t="s">
        <v>404</v>
      </c>
      <c r="C172" s="14" t="s">
        <v>362</v>
      </c>
      <c r="D172" s="14" t="s">
        <v>45</v>
      </c>
      <c r="E172" s="16" t="s">
        <v>280</v>
      </c>
      <c r="F172" s="16"/>
      <c r="G172" s="16"/>
    </row>
    <row r="173" spans="1:7" ht="12.75" x14ac:dyDescent="0.2">
      <c r="A173" s="14" t="s">
        <v>189</v>
      </c>
      <c r="B173" s="14" t="s">
        <v>190</v>
      </c>
      <c r="C173" s="14" t="s">
        <v>191</v>
      </c>
      <c r="D173" s="14" t="s">
        <v>34</v>
      </c>
      <c r="E173" s="16" t="s">
        <v>70</v>
      </c>
      <c r="F173" s="16"/>
      <c r="G173" s="16"/>
    </row>
    <row r="174" spans="1:7" ht="12.75" x14ac:dyDescent="0.2">
      <c r="A174" s="14" t="s">
        <v>177</v>
      </c>
      <c r="B174" s="14" t="s">
        <v>178</v>
      </c>
      <c r="C174" s="14" t="s">
        <v>179</v>
      </c>
      <c r="D174" s="14" t="s">
        <v>34</v>
      </c>
      <c r="E174" s="16" t="s">
        <v>31</v>
      </c>
      <c r="F174" s="16"/>
      <c r="G174" s="16"/>
    </row>
    <row r="175" spans="1:7" ht="12.75" x14ac:dyDescent="0.2">
      <c r="A175" s="14" t="s">
        <v>451</v>
      </c>
      <c r="B175" s="14" t="s">
        <v>452</v>
      </c>
      <c r="C175" s="14" t="s">
        <v>453</v>
      </c>
      <c r="D175" s="14" t="s">
        <v>195</v>
      </c>
      <c r="E175" s="16" t="s">
        <v>123</v>
      </c>
      <c r="F175" s="16"/>
      <c r="G175" s="16"/>
    </row>
    <row r="176" spans="1:7" ht="12.75" x14ac:dyDescent="0.2">
      <c r="A176" s="14" t="s">
        <v>454</v>
      </c>
      <c r="B176" s="14" t="s">
        <v>455</v>
      </c>
      <c r="C176" s="14" t="s">
        <v>456</v>
      </c>
      <c r="D176" s="14" t="s">
        <v>45</v>
      </c>
      <c r="E176" s="16" t="s">
        <v>311</v>
      </c>
      <c r="F176" s="16"/>
      <c r="G176" s="16"/>
    </row>
    <row r="177" spans="1:7" ht="12.75" x14ac:dyDescent="0.2">
      <c r="A177" s="14" t="s">
        <v>457</v>
      </c>
      <c r="B177" s="14" t="s">
        <v>458</v>
      </c>
      <c r="C177" s="14" t="s">
        <v>459</v>
      </c>
      <c r="D177" s="14" t="s">
        <v>10</v>
      </c>
      <c r="E177" s="16" t="s">
        <v>31</v>
      </c>
      <c r="F177" s="16"/>
      <c r="G177" s="16"/>
    </row>
    <row r="178" spans="1:7" ht="12.75" x14ac:dyDescent="0.2">
      <c r="A178" s="14" t="s">
        <v>460</v>
      </c>
      <c r="B178" s="14" t="s">
        <v>461</v>
      </c>
      <c r="C178" s="14" t="s">
        <v>459</v>
      </c>
      <c r="D178" s="14" t="s">
        <v>10</v>
      </c>
      <c r="E178" s="16" t="s">
        <v>31</v>
      </c>
      <c r="F178" s="16"/>
      <c r="G178" s="16"/>
    </row>
    <row r="179" spans="1:7" ht="12.75" x14ac:dyDescent="0.2">
      <c r="A179" s="14" t="s">
        <v>462</v>
      </c>
      <c r="B179" s="14" t="s">
        <v>463</v>
      </c>
      <c r="C179" s="14" t="s">
        <v>464</v>
      </c>
      <c r="D179" s="14" t="s">
        <v>10</v>
      </c>
      <c r="E179" s="16" t="s">
        <v>62</v>
      </c>
      <c r="F179" s="16"/>
      <c r="G179" s="16"/>
    </row>
    <row r="180" spans="1:7" ht="12.75" x14ac:dyDescent="0.2">
      <c r="A180" s="14" t="s">
        <v>465</v>
      </c>
      <c r="B180" s="14" t="s">
        <v>466</v>
      </c>
      <c r="C180" s="14" t="s">
        <v>467</v>
      </c>
      <c r="D180" s="14" t="s">
        <v>10</v>
      </c>
      <c r="E180" s="16" t="s">
        <v>31</v>
      </c>
      <c r="F180" s="16"/>
      <c r="G180" s="16"/>
    </row>
    <row r="181" spans="1:7" ht="12.75" x14ac:dyDescent="0.2">
      <c r="A181" s="14" t="s">
        <v>468</v>
      </c>
      <c r="B181" s="14" t="s">
        <v>469</v>
      </c>
      <c r="C181" s="14" t="s">
        <v>470</v>
      </c>
      <c r="D181" s="14" t="s">
        <v>10</v>
      </c>
      <c r="E181" s="16" t="s">
        <v>18</v>
      </c>
      <c r="F181" s="16"/>
      <c r="G181" s="16"/>
    </row>
    <row r="182" spans="1:7" ht="12.75" x14ac:dyDescent="0.2">
      <c r="A182" s="14" t="s">
        <v>474</v>
      </c>
      <c r="B182" s="14" t="s">
        <v>475</v>
      </c>
      <c r="C182" s="14" t="s">
        <v>476</v>
      </c>
      <c r="D182" s="14" t="s">
        <v>10</v>
      </c>
      <c r="E182" s="16" t="s">
        <v>31</v>
      </c>
      <c r="F182" s="16"/>
      <c r="G182" s="16"/>
    </row>
    <row r="183" spans="1:7" ht="12.75" x14ac:dyDescent="0.2">
      <c r="A183" s="14" t="s">
        <v>471</v>
      </c>
      <c r="B183" s="14" t="s">
        <v>472</v>
      </c>
      <c r="C183" s="14" t="s">
        <v>473</v>
      </c>
      <c r="D183" s="14" t="s">
        <v>10</v>
      </c>
      <c r="E183" s="16" t="s">
        <v>42</v>
      </c>
      <c r="F183" s="16"/>
      <c r="G183" s="16"/>
    </row>
    <row r="184" spans="1:7" ht="12.75" x14ac:dyDescent="0.2">
      <c r="A184" s="14" t="s">
        <v>486</v>
      </c>
      <c r="B184" s="14" t="s">
        <v>487</v>
      </c>
      <c r="C184" s="14" t="s">
        <v>488</v>
      </c>
      <c r="D184" s="14" t="s">
        <v>22</v>
      </c>
      <c r="E184" s="16" t="s">
        <v>119</v>
      </c>
      <c r="F184" s="16"/>
      <c r="G184" s="16"/>
    </row>
    <row r="185" spans="1:7" ht="12.75" x14ac:dyDescent="0.2">
      <c r="A185" s="14" t="s">
        <v>477</v>
      </c>
      <c r="B185" s="14" t="s">
        <v>478</v>
      </c>
      <c r="C185" s="14" t="s">
        <v>479</v>
      </c>
      <c r="D185" s="14" t="s">
        <v>73</v>
      </c>
      <c r="E185" s="16" t="s">
        <v>123</v>
      </c>
      <c r="F185" s="16"/>
      <c r="G185" s="16"/>
    </row>
    <row r="186" spans="1:7" ht="12.75" x14ac:dyDescent="0.2">
      <c r="A186" s="14" t="s">
        <v>405</v>
      </c>
      <c r="B186" s="14" t="s">
        <v>406</v>
      </c>
      <c r="C186" s="14" t="s">
        <v>362</v>
      </c>
      <c r="D186" s="14" t="s">
        <v>45</v>
      </c>
      <c r="E186" s="16" t="s">
        <v>53</v>
      </c>
      <c r="F186" s="16"/>
      <c r="G186" s="16"/>
    </row>
    <row r="187" spans="1:7" ht="12.75" x14ac:dyDescent="0.2">
      <c r="A187" s="14" t="s">
        <v>92</v>
      </c>
      <c r="B187" s="14" t="s">
        <v>93</v>
      </c>
      <c r="C187" s="14" t="s">
        <v>94</v>
      </c>
      <c r="D187" s="14" t="s">
        <v>34</v>
      </c>
      <c r="E187" s="16" t="s">
        <v>95</v>
      </c>
      <c r="F187" s="16"/>
      <c r="G187" s="16"/>
    </row>
    <row r="188" spans="1:7" ht="12.75" x14ac:dyDescent="0.2">
      <c r="A188" s="14" t="s">
        <v>489</v>
      </c>
      <c r="B188" s="14" t="s">
        <v>490</v>
      </c>
      <c r="C188" s="14" t="s">
        <v>491</v>
      </c>
      <c r="D188" s="14" t="s">
        <v>175</v>
      </c>
      <c r="E188" s="16" t="s">
        <v>339</v>
      </c>
      <c r="F188" s="16"/>
      <c r="G188" s="16"/>
    </row>
    <row r="189" spans="1:7" ht="12.75" x14ac:dyDescent="0.2">
      <c r="A189" s="14" t="s">
        <v>534</v>
      </c>
      <c r="B189" s="14" t="s">
        <v>533</v>
      </c>
      <c r="C189" s="14" t="s">
        <v>535</v>
      </c>
      <c r="D189" s="14" t="s">
        <v>22</v>
      </c>
      <c r="E189" s="16" t="s">
        <v>131</v>
      </c>
      <c r="F189" s="16" t="s">
        <v>567</v>
      </c>
      <c r="G189" s="16"/>
    </row>
    <row r="190" spans="1:7" ht="12.75" x14ac:dyDescent="0.2">
      <c r="A190" s="14" t="s">
        <v>511</v>
      </c>
      <c r="B190" s="14" t="s">
        <v>512</v>
      </c>
      <c r="C190" s="14" t="s">
        <v>513</v>
      </c>
      <c r="D190" s="14" t="s">
        <v>22</v>
      </c>
      <c r="E190" s="16" t="s">
        <v>50</v>
      </c>
      <c r="F190" s="16"/>
      <c r="G190" s="16"/>
    </row>
    <row r="191" spans="1:7" ht="15.75" customHeight="1" x14ac:dyDescent="0.2">
      <c r="A191" s="14" t="s">
        <v>514</v>
      </c>
      <c r="B191" s="14" t="s">
        <v>515</v>
      </c>
      <c r="C191" s="14" t="s">
        <v>516</v>
      </c>
      <c r="D191" s="14" t="s">
        <v>34</v>
      </c>
      <c r="E191" s="16" t="s">
        <v>62</v>
      </c>
      <c r="F191" s="16"/>
      <c r="G191" s="16"/>
    </row>
    <row r="192" spans="1:7" ht="15.75" customHeight="1" x14ac:dyDescent="0.2">
      <c r="A192" s="14" t="s">
        <v>517</v>
      </c>
      <c r="B192" s="14" t="s">
        <v>518</v>
      </c>
      <c r="C192" s="14" t="s">
        <v>516</v>
      </c>
      <c r="D192" s="14" t="s">
        <v>34</v>
      </c>
      <c r="E192" s="16" t="s">
        <v>311</v>
      </c>
      <c r="F192" s="16"/>
      <c r="G192" s="16"/>
    </row>
    <row r="193" spans="1:7" ht="15.75" customHeight="1" x14ac:dyDescent="0.2">
      <c r="A193" s="14" t="s">
        <v>99</v>
      </c>
      <c r="B193" s="14" t="s">
        <v>100</v>
      </c>
      <c r="C193" s="14" t="s">
        <v>101</v>
      </c>
      <c r="D193" s="14" t="s">
        <v>22</v>
      </c>
      <c r="E193" s="16" t="s">
        <v>102</v>
      </c>
      <c r="F193" s="16"/>
      <c r="G193" s="16"/>
    </row>
    <row r="194" spans="1:7" ht="15.75" customHeight="1" x14ac:dyDescent="0.2">
      <c r="A194" s="14" t="s">
        <v>519</v>
      </c>
      <c r="B194" s="14" t="s">
        <v>520</v>
      </c>
      <c r="C194" s="14" t="s">
        <v>521</v>
      </c>
      <c r="D194" s="14" t="s">
        <v>73</v>
      </c>
      <c r="E194" s="16" t="s">
        <v>258</v>
      </c>
      <c r="F194" s="16"/>
      <c r="G194" s="16"/>
    </row>
    <row r="195" spans="1:7" ht="15.75" customHeight="1" x14ac:dyDescent="0.2">
      <c r="A195" s="14" t="s">
        <v>256</v>
      </c>
      <c r="B195" s="14" t="s">
        <v>257</v>
      </c>
      <c r="C195" s="14" t="s">
        <v>245</v>
      </c>
      <c r="D195" s="14" t="s">
        <v>195</v>
      </c>
      <c r="E195" s="16" t="s">
        <v>258</v>
      </c>
      <c r="F195" s="16"/>
      <c r="G195" s="16"/>
    </row>
    <row r="196" spans="1:7" ht="15.75" customHeight="1" x14ac:dyDescent="0.2">
      <c r="A196" s="14" t="s">
        <v>259</v>
      </c>
      <c r="B196" s="14" t="s">
        <v>260</v>
      </c>
      <c r="C196" s="14" t="s">
        <v>245</v>
      </c>
      <c r="D196" s="14" t="s">
        <v>195</v>
      </c>
      <c r="E196" s="16" t="s">
        <v>27</v>
      </c>
      <c r="F196" s="16"/>
      <c r="G196" s="16"/>
    </row>
  </sheetData>
  <autoFilter ref="A1:F196" xr:uid="{00000000-0009-0000-0000-000001000000}">
    <sortState xmlns:xlrd2="http://schemas.microsoft.com/office/spreadsheetml/2017/richdata2" ref="A2:F196">
      <sortCondition ref="B1:B196"/>
    </sortState>
  </autoFilter>
  <sortState xmlns:xlrd2="http://schemas.microsoft.com/office/spreadsheetml/2017/richdata2" ref="A2:F196">
    <sortCondition ref="A2"/>
  </sortState>
  <phoneticPr fontId="14" type="noConversion"/>
  <conditionalFormatting sqref="A198:E223 A2:E196 A197:F197 A224:F294">
    <cfRule type="expression" dxfId="4" priority="2">
      <formula>$D2="custom-collection"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SortByHardwareThenReleaseYear">
                <anchor moveWithCells="1" sizeWithCells="1">
                  <from>
                    <xdr:col>7</xdr:col>
                    <xdr:colOff>0</xdr:colOff>
                    <xdr:row>10</xdr:row>
                    <xdr:rowOff>47625</xdr:rowOff>
                  </from>
                  <to>
                    <xdr:col>8</xdr:col>
                    <xdr:colOff>314325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SortByReleaseThenFullname">
                <anchor moveWithCells="1" sizeWithCells="1">
                  <from>
                    <xdr:col>7</xdr:col>
                    <xdr:colOff>0</xdr:colOff>
                    <xdr:row>4</xdr:row>
                    <xdr:rowOff>161925</xdr:rowOff>
                  </from>
                  <to>
                    <xdr:col>8</xdr:col>
                    <xdr:colOff>314325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SortByManufacturerThenReleaseYear">
                <anchor moveWithCells="1" sizeWithCells="1">
                  <from>
                    <xdr:col>7</xdr:col>
                    <xdr:colOff>9525</xdr:colOff>
                    <xdr:row>7</xdr:row>
                    <xdr:rowOff>95250</xdr:rowOff>
                  </from>
                  <to>
                    <xdr:col>8</xdr:col>
                    <xdr:colOff>323850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SortByManufacturerThenHardwareThenReleaseYear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8</xdr:col>
                    <xdr:colOff>314325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SortByFullname">
                <anchor moveWithCells="1" sizeWithCells="1">
                  <from>
                    <xdr:col>7</xdr:col>
                    <xdr:colOff>9525</xdr:colOff>
                    <xdr:row>2</xdr:row>
                    <xdr:rowOff>57150</xdr:rowOff>
                  </from>
                  <to>
                    <xdr:col>8</xdr:col>
                    <xdr:colOff>323850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98B0-10AF-4198-8694-AAC01D49D8BA}">
  <sheetPr codeName="Sheet6">
    <outlinePr summaryBelow="0" summaryRight="0"/>
  </sheetPr>
  <dimension ref="A1:G5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ColWidth="12.5703125" defaultRowHeight="15.75" customHeight="1" x14ac:dyDescent="0.2"/>
  <cols>
    <col min="1" max="1" width="16.7109375" bestFit="1" customWidth="1"/>
    <col min="2" max="2" width="16.7109375" customWidth="1"/>
    <col min="3" max="3" width="6.140625" customWidth="1"/>
    <col min="4" max="6" width="21.7109375" customWidth="1"/>
  </cols>
  <sheetData>
    <row r="1" spans="1:7" s="20" customFormat="1" ht="24.95" customHeight="1" x14ac:dyDescent="0.2">
      <c r="A1" s="18" t="s">
        <v>2</v>
      </c>
      <c r="B1" s="18" t="str">
        <f ca="1">IFERROR(__xludf.DUMMYFUNCTION("""COMPUTED_VALUE"""),"systemsortname")</f>
        <v>systemsortname</v>
      </c>
      <c r="C1" s="21"/>
      <c r="D1" s="24" t="b">
        <v>1</v>
      </c>
      <c r="E1" s="24" t="b">
        <v>1</v>
      </c>
      <c r="F1" s="24" t="b">
        <v>1</v>
      </c>
      <c r="G1" s="25"/>
    </row>
    <row r="2" spans="1:7" ht="15.75" customHeight="1" x14ac:dyDescent="0.2">
      <c r="A2" s="14" t="s">
        <v>525</v>
      </c>
      <c r="B2" s="14" t="s">
        <v>537</v>
      </c>
      <c r="C2" s="16"/>
    </row>
    <row r="3" spans="1:7" ht="15.75" customHeight="1" x14ac:dyDescent="0.2">
      <c r="A3" s="26" t="s">
        <v>526</v>
      </c>
      <c r="B3" s="14" t="s">
        <v>537</v>
      </c>
      <c r="C3" s="16"/>
    </row>
    <row r="4" spans="1:7" ht="15.75" customHeight="1" x14ac:dyDescent="0.2">
      <c r="A4" s="26" t="s">
        <v>527</v>
      </c>
      <c r="B4" s="14" t="s">
        <v>537</v>
      </c>
    </row>
    <row r="5" spans="1:7" ht="15.75" customHeight="1" x14ac:dyDescent="0.2">
      <c r="A5" s="26"/>
      <c r="B5" s="14"/>
    </row>
  </sheetData>
  <autoFilter ref="A1" xr:uid="{00000000-0009-0000-0000-000001000000}"/>
  <conditionalFormatting sqref="A5:B101 B2:B4">
    <cfRule type="expression" dxfId="3" priority="3">
      <formula>#REF!="custom-collection"</formula>
    </cfRule>
  </conditionalFormatting>
  <conditionalFormatting sqref="A2:A4">
    <cfRule type="expression" dxfId="2" priority="4">
      <formula>#REF!="custom-collection"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Check Box 7">
              <controlPr defaultSize="0" autoFill="0" autoLine="0" autoPict="0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Check Box 9">
              <controlPr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0</xdr:rowOff>
                  </from>
                  <to>
                    <xdr:col>5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FCCCF-838F-43CB-817E-7EE7E12D78BA}">
  <sheetPr codeName="Sheet7">
    <outlinePr summaryBelow="0" summaryRight="0"/>
  </sheetPr>
  <dimension ref="A1:H5"/>
  <sheetViews>
    <sheetView zoomScale="145" zoomScaleNormal="145" workbookViewId="0">
      <pane ySplit="1" topLeftCell="A2" activePane="bottomLeft" state="frozen"/>
      <selection pane="bottomLeft" activeCell="D5" sqref="D5"/>
    </sheetView>
  </sheetViews>
  <sheetFormatPr defaultColWidth="12.5703125" defaultRowHeight="15.75" customHeight="1" x14ac:dyDescent="0.2"/>
  <cols>
    <col min="1" max="1" width="16.7109375" bestFit="1" customWidth="1"/>
    <col min="2" max="2" width="16.7109375" customWidth="1"/>
    <col min="3" max="3" width="6.140625" customWidth="1"/>
    <col min="4" max="7" width="21.7109375" customWidth="1"/>
  </cols>
  <sheetData>
    <row r="1" spans="1:8" s="20" customFormat="1" ht="24.95" customHeight="1" x14ac:dyDescent="0.2">
      <c r="A1" s="28" t="s">
        <v>2</v>
      </c>
      <c r="B1" s="28" t="str">
        <f ca="1">IFERROR(__xludf.DUMMYFUNCTION("""COMPUTED_VALUE"""),"systemsortname")</f>
        <v>systemsortname</v>
      </c>
      <c r="C1" s="21"/>
      <c r="D1" s="23" t="b">
        <v>0</v>
      </c>
      <c r="E1" s="27"/>
      <c r="F1" s="27"/>
      <c r="G1" s="27"/>
      <c r="H1" s="25"/>
    </row>
    <row r="2" spans="1:8" ht="15.75" customHeight="1" x14ac:dyDescent="0.2">
      <c r="A2" s="14" t="s">
        <v>579</v>
      </c>
      <c r="B2" s="14" t="s">
        <v>580</v>
      </c>
      <c r="C2" s="16"/>
    </row>
    <row r="3" spans="1:8" ht="15.75" customHeight="1" x14ac:dyDescent="0.2">
      <c r="A3" s="26" t="s">
        <v>581</v>
      </c>
      <c r="B3" s="14" t="s">
        <v>582</v>
      </c>
      <c r="C3" s="16"/>
    </row>
    <row r="4" spans="1:8" ht="15.75" customHeight="1" x14ac:dyDescent="0.2">
      <c r="A4" s="26"/>
      <c r="B4" s="14"/>
    </row>
    <row r="5" spans="1:8" ht="15.75" customHeight="1" x14ac:dyDescent="0.2">
      <c r="A5" s="26"/>
      <c r="B5" s="14"/>
    </row>
  </sheetData>
  <autoFilter ref="A1" xr:uid="{00000000-0009-0000-0000-000001000000}"/>
  <conditionalFormatting sqref="A5:B101 B2:B4">
    <cfRule type="expression" dxfId="1" priority="2">
      <formula>#REF!="custom-collection"</formula>
    </cfRule>
  </conditionalFormatting>
  <conditionalFormatting sqref="A2:A4">
    <cfRule type="expression" dxfId="0" priority="1">
      <formula>$D2="custom-collection"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C1B5-9474-4296-8571-8D8A9F6D6FCE}">
  <sheetPr codeName="Sheet3">
    <outlinePr summaryBelow="0" summaryRight="0"/>
  </sheetPr>
  <dimension ref="A1:B37"/>
  <sheetViews>
    <sheetView tabSelected="1" workbookViewId="0">
      <pane ySplit="1" topLeftCell="A2" activePane="bottomLeft" state="frozen"/>
      <selection pane="bottomLeft" activeCell="C6" sqref="C6"/>
    </sheetView>
  </sheetViews>
  <sheetFormatPr defaultColWidth="12.5703125" defaultRowHeight="15.75" customHeight="1" x14ac:dyDescent="0.2"/>
  <cols>
    <col min="1" max="1" width="17" customWidth="1"/>
    <col min="2" max="2" width="28" customWidth="1"/>
  </cols>
  <sheetData>
    <row r="1" spans="1:2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</row>
    <row r="2" spans="1:2" ht="15.75" customHeight="1" x14ac:dyDescent="0.2">
      <c r="A2" t="str" cm="1">
        <f t="array" ref="A2:B37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_xlpm.useSimpleCustom, 'Custom-Collections'!D1,
    _xlpm.fullCustomRaw, IFERROR(_xlfn._xlws.FILTER('Custom-Collections'!A2:B101, 'Custom-Collections'!A2:A101&lt;&gt;""), {"",""}),
    _xlpm.fullCustom, IF(
        ROWS(_xlpm.fullCustomRaw)=1,
        _xlfn.HSTACK(INDEX(_xlpm.fullCustomRaw,1,1), IFERROR(INDEX(_xlpm.fullCustomRaw,1,2), "")),
        _xlpm.fullCustomRaw
    ),
    _xlpm.customData,
    IF(
        _xlpm.useSimpleCustom,
        IF(
            AND(ROWS(_xlpm.fullCustom)=1, INDEX(_xlpm.fullCustom,1,1)=""),
            {"",""},
            {"custom-collections","custom-collection"}
        ),
        _xlpm.fullCustom
    ),
    _xlpm.flag1, 'Auto-Collections'!D1,
    _xlpm.flag2, 'Auto-Collections'!E1,
    _xlpm.flag3, 'Auto-Collections'!F1,
    _xlpm.anyFlag, OR(_xlpm.flag1, _xlpm.flag2, _xlpm.flag3),
    _xlpm.auto1, IF(_xlpm.flag1, 'Auto-Collections'!A2:B2, {"",""}),
    _xlpm.auto2, IF(_xlpm.flag2, 'Auto-Collections'!A3:B3, {"",""}),
    _xlpm.auto3, IF(_xlpm.flag3, 'Auto-Collections'!A4:B4, {"",""}),
    _xlpm.autoStack, _xlfn.VSTACK(_xlpm.auto1, _xlpm.auto2, _xlpm.auto3),
    _xlpm.validAuto, IFERROR(_xlfn._xlws.FILTER(_xlpm.autoStack, INDEX(_xlpm.autoStack,,1)&lt;&gt;""), {"",""}),
    _xlpm.topStack, IF(AND(ROWS(_xlpm.customData)=1, INDEX(_xlpm.customData,1,1)=""), _xlpm.sortedData, _xlfn.VSTACK(_xlpm.sortedData, _xlpm.customData)),
    IF(
        _xlpm.anyFlag,
        _xlfn.VSTACK(_xlpm.topStack, _xlpm.validAuto),
        _xlpm.topStack
    )
)</f>
        <v>androidapps</v>
      </c>
      <c r="B2" t="str">
        <v>001</v>
      </c>
    </row>
    <row r="3" spans="1:2" ht="15.75" customHeight="1" x14ac:dyDescent="0.2">
      <c r="A3" t="str">
        <v>emulators</v>
      </c>
      <c r="B3" t="str">
        <v>002</v>
      </c>
    </row>
    <row r="4" spans="1:2" ht="15.75" customHeight="1" x14ac:dyDescent="0.2">
      <c r="A4" t="str">
        <v>androidgames</v>
      </c>
      <c r="B4" t="str">
        <v>003</v>
      </c>
    </row>
    <row r="5" spans="1:2" ht="15.75" customHeight="1" x14ac:dyDescent="0.2">
      <c r="A5" t="str">
        <v>windows</v>
      </c>
      <c r="B5" t="str">
        <v>004</v>
      </c>
    </row>
    <row r="6" spans="1:2" ht="15.75" customHeight="1" x14ac:dyDescent="0.2">
      <c r="A6" t="str">
        <v>arcade</v>
      </c>
      <c r="B6" t="str">
        <v>004a</v>
      </c>
    </row>
    <row r="7" spans="1:2" ht="15.75" customHeight="1" x14ac:dyDescent="0.2">
      <c r="A7" t="str">
        <v>nes</v>
      </c>
      <c r="B7" t="str">
        <v>005</v>
      </c>
    </row>
    <row r="8" spans="1:2" ht="15.75" customHeight="1" x14ac:dyDescent="0.2">
      <c r="A8" t="str">
        <v>snes</v>
      </c>
      <c r="B8" t="str">
        <v>006</v>
      </c>
    </row>
    <row r="9" spans="1:2" ht="15.75" customHeight="1" x14ac:dyDescent="0.2">
      <c r="A9" t="str">
        <v>n64</v>
      </c>
      <c r="B9" t="str">
        <v>007</v>
      </c>
    </row>
    <row r="10" spans="1:2" ht="15.75" customHeight="1" x14ac:dyDescent="0.2">
      <c r="A10" t="str">
        <v>gc</v>
      </c>
      <c r="B10" t="str">
        <v>008</v>
      </c>
    </row>
    <row r="11" spans="1:2" ht="15.75" customHeight="1" x14ac:dyDescent="0.2">
      <c r="A11" t="str">
        <v>wii</v>
      </c>
      <c r="B11" t="str">
        <v>009</v>
      </c>
    </row>
    <row r="12" spans="1:2" ht="15.75" customHeight="1" x14ac:dyDescent="0.2">
      <c r="A12" t="str">
        <v>wiiu</v>
      </c>
      <c r="B12" t="str">
        <v>010</v>
      </c>
    </row>
    <row r="13" spans="1:2" ht="15.75" customHeight="1" x14ac:dyDescent="0.2">
      <c r="A13" t="str">
        <v>switch</v>
      </c>
      <c r="B13" t="str">
        <v>011</v>
      </c>
    </row>
    <row r="14" spans="1:2" ht="15.75" customHeight="1" x14ac:dyDescent="0.2">
      <c r="A14" t="str">
        <v>gb</v>
      </c>
      <c r="B14" t="str">
        <v>012</v>
      </c>
    </row>
    <row r="15" spans="1:2" ht="15.75" customHeight="1" x14ac:dyDescent="0.2">
      <c r="A15" t="str">
        <v>gbc</v>
      </c>
      <c r="B15" t="str">
        <v>013</v>
      </c>
    </row>
    <row r="16" spans="1:2" ht="15.75" customHeight="1" x14ac:dyDescent="0.2">
      <c r="A16" t="str">
        <v>gba</v>
      </c>
      <c r="B16" t="str">
        <v>014</v>
      </c>
    </row>
    <row r="17" spans="1:2" ht="15.75" customHeight="1" x14ac:dyDescent="0.2">
      <c r="A17" t="str">
        <v>nds</v>
      </c>
      <c r="B17" t="str">
        <v>015</v>
      </c>
    </row>
    <row r="18" spans="1:2" ht="15.75" customHeight="1" x14ac:dyDescent="0.2">
      <c r="A18" t="str">
        <v>n3ds</v>
      </c>
      <c r="B18" t="str">
        <v>016</v>
      </c>
    </row>
    <row r="19" spans="1:2" ht="15.75" customHeight="1" x14ac:dyDescent="0.2">
      <c r="A19" t="str">
        <v>mastersystem</v>
      </c>
      <c r="B19" t="str">
        <v>017</v>
      </c>
    </row>
    <row r="20" spans="1:2" ht="15.75" customHeight="1" x14ac:dyDescent="0.2">
      <c r="A20" t="str">
        <v>genesis</v>
      </c>
      <c r="B20" t="str">
        <v>018</v>
      </c>
    </row>
    <row r="21" spans="1:2" ht="15.75" customHeight="1" x14ac:dyDescent="0.2">
      <c r="A21" t="str">
        <v>segacd</v>
      </c>
      <c r="B21" t="str">
        <v>019</v>
      </c>
    </row>
    <row r="22" spans="1:2" ht="15.75" customHeight="1" x14ac:dyDescent="0.2">
      <c r="A22" t="str">
        <v>saturn</v>
      </c>
      <c r="B22" t="str">
        <v>020</v>
      </c>
    </row>
    <row r="23" spans="1:2" ht="15.75" customHeight="1" x14ac:dyDescent="0.2">
      <c r="A23" t="str">
        <v>dreamcast</v>
      </c>
      <c r="B23" t="str">
        <v>021</v>
      </c>
    </row>
    <row r="24" spans="1:2" ht="15.75" customHeight="1" x14ac:dyDescent="0.2">
      <c r="A24" t="str">
        <v>gamegear</v>
      </c>
      <c r="B24" t="str">
        <v>022</v>
      </c>
    </row>
    <row r="25" spans="1:2" ht="15.75" customHeight="1" x14ac:dyDescent="0.2">
      <c r="A25" t="str">
        <v>neogeo</v>
      </c>
      <c r="B25" t="str">
        <v>023</v>
      </c>
    </row>
    <row r="26" spans="1:2" ht="15.75" customHeight="1" x14ac:dyDescent="0.2">
      <c r="A26" t="str">
        <v>psx</v>
      </c>
      <c r="B26" t="str">
        <v>024</v>
      </c>
    </row>
    <row r="27" spans="1:2" ht="15.75" customHeight="1" x14ac:dyDescent="0.2">
      <c r="A27" t="str">
        <v>ps2</v>
      </c>
      <c r="B27" t="str">
        <v>025</v>
      </c>
    </row>
    <row r="28" spans="1:2" ht="15.75" customHeight="1" x14ac:dyDescent="0.2">
      <c r="A28" t="str">
        <v>ps3</v>
      </c>
      <c r="B28" t="str">
        <v>026</v>
      </c>
    </row>
    <row r="29" spans="1:2" ht="15.75" customHeight="1" x14ac:dyDescent="0.2">
      <c r="A29" t="str">
        <v>psp</v>
      </c>
      <c r="B29" t="str">
        <v>027</v>
      </c>
    </row>
    <row r="30" spans="1:2" ht="15.75" customHeight="1" x14ac:dyDescent="0.2">
      <c r="A30" t="str">
        <v>psvita</v>
      </c>
      <c r="B30" t="str">
        <v>028</v>
      </c>
    </row>
    <row r="31" spans="1:2" ht="15.75" customHeight="1" x14ac:dyDescent="0.2">
      <c r="A31" t="str">
        <v>ports</v>
      </c>
      <c r="B31" t="str">
        <v>029</v>
      </c>
    </row>
    <row r="32" spans="1:2" ht="15.75" customHeight="1" x14ac:dyDescent="0.2">
      <c r="A32" t="str">
        <v>vircon32</v>
      </c>
      <c r="B32" t="str">
        <v>030</v>
      </c>
    </row>
    <row r="33" spans="1:2" ht="15.75" customHeight="1" x14ac:dyDescent="0.2">
      <c r="A33" t="str">
        <v>Mario</v>
      </c>
      <c r="B33" t="str">
        <v>mario</v>
      </c>
    </row>
    <row r="34" spans="1:2" ht="15.75" customHeight="1" x14ac:dyDescent="0.2">
      <c r="A34" t="str">
        <v>Zelda</v>
      </c>
      <c r="B34" t="str">
        <v>zelda</v>
      </c>
    </row>
    <row r="35" spans="1:2" ht="15.75" customHeight="1" x14ac:dyDescent="0.2">
      <c r="A35" t="str">
        <v>auto-allgames</v>
      </c>
      <c r="B35" t="str">
        <v>auto-collection</v>
      </c>
    </row>
    <row r="36" spans="1:2" ht="15.75" customHeight="1" x14ac:dyDescent="0.2">
      <c r="A36" t="str">
        <v>auto-favorites</v>
      </c>
      <c r="B36" t="str">
        <v>auto-collection</v>
      </c>
    </row>
    <row r="37" spans="1:2" ht="15.75" customHeight="1" x14ac:dyDescent="0.2">
      <c r="A37" t="str">
        <v>auto-lastplayed</v>
      </c>
      <c r="B37" t="str">
        <v>auto-collection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RunBothExports">
                <anchor moveWithCells="1" sizeWithCells="1">
                  <from>
                    <xdr:col>2</xdr:col>
                    <xdr:colOff>76200</xdr:colOff>
                    <xdr:row>1</xdr:row>
                    <xdr:rowOff>28575</xdr:rowOff>
                  </from>
                  <to>
                    <xdr:col>3</xdr:col>
                    <xdr:colOff>647700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B300"/>
  <sheetViews>
    <sheetView workbookViewId="0">
      <pane ySplit="1" topLeftCell="A23" activePane="bottomLeft" state="frozen"/>
      <selection pane="bottomLeft" activeCell="C35" sqref="C35:L300"/>
    </sheetView>
  </sheetViews>
  <sheetFormatPr defaultColWidth="12.5703125" defaultRowHeight="15.75" customHeight="1" x14ac:dyDescent="0.2"/>
  <cols>
    <col min="1" max="1" width="14" customWidth="1"/>
    <col min="2" max="2" width="28" customWidth="1"/>
  </cols>
  <sheetData>
    <row r="1" spans="1:28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  <c r="C1">
        <v>-2</v>
      </c>
      <c r="D1">
        <v>-1</v>
      </c>
      <c r="E1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N1" t="s">
        <v>527</v>
      </c>
      <c r="O1">
        <v>-2</v>
      </c>
      <c r="P1">
        <v>-1</v>
      </c>
      <c r="Q1">
        <v>0</v>
      </c>
      <c r="R1">
        <v>1</v>
      </c>
      <c r="S1">
        <v>2</v>
      </c>
      <c r="T1">
        <v>3</v>
      </c>
      <c r="U1">
        <v>4</v>
      </c>
      <c r="V1">
        <v>5</v>
      </c>
      <c r="W1">
        <v>6</v>
      </c>
      <c r="X1">
        <v>7</v>
      </c>
      <c r="AB1" t="b">
        <v>1</v>
      </c>
    </row>
    <row r="2" spans="1:28" ht="15.75" customHeight="1" x14ac:dyDescent="0.2">
      <c r="A2" t="str" cm="1">
        <f t="array" ref="A2:B37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_xlpm.useSimpleCustom, 'Custom-Collections'!D1,
    _xlpm.fullCustomRaw, IFERROR(_xlfn._xlws.FILTER('Custom-Collections'!A2:B101, 'Custom-Collections'!A2:A101&lt;&gt;""), {"",""}),
    _xlpm.fullCustom, IF(
        ROWS(_xlpm.fullCustomRaw)=1,
        _xlfn.HSTACK(INDEX(_xlpm.fullCustomRaw,1,1), IFERROR(INDEX(_xlpm.fullCustomRaw,1,2), "")),
        _xlpm.fullCustomRaw
    ),
    _xlpm.customData,
    IF(
        _xlpm.useSimpleCustom,
        IF(
            AND(ROWS(_xlpm.fullCustom)=1, INDEX(_xlpm.fullCustom,1,1)=""),
            {"",""},
            {"custom-collections","custom-collection"}
        ),
        _xlpm.fullCustom
    ),
    _xlpm.flag1, 'Auto-Collections'!D1,
    _xlpm.flag2, 'Auto-Collections'!E1,
    _xlpm.flag3, 'Auto-Collections'!F1,
    _xlpm.anyFlag, OR(_xlpm.flag1, _xlpm.flag2, _xlpm.flag3),
    _xlpm.auto1, IF(_xlpm.flag1, 'Auto-Collections'!A2:B2, {"",""}),
    _xlpm.auto2, IF(_xlpm.flag2, 'Auto-Collections'!A3:B3, {"",""}),
    _xlpm.auto3, IF(_xlpm.flag3, 'Auto-Collections'!A4:B4, {"",""}),
    _xlpm.autoStack, _xlfn.VSTACK(_xlpm.auto1, _xlpm.auto2, _xlpm.auto3),
    _xlpm.validAuto, IFERROR(_xlfn._xlws.FILTER(_xlpm.autoStack, INDEX(_xlpm.autoStack,,1)&lt;&gt;""), {"",""}),
    _xlpm.topStack, IF(AND(ROWS(_xlpm.customData)=1, INDEX(_xlpm.customData,1,1)=""), _xlpm.sortedData, _xlfn.VSTACK(_xlpm.sortedData, _xlpm.customData)),
    IF(
        _xlpm.anyFlag,
        _xlfn.VSTACK(_xlpm.topStack, _xlpm.validAuto),
        _xlpm.topStack
    )
)</f>
        <v>androidapps</v>
      </c>
      <c r="B2" t="str">
        <v>001</v>
      </c>
      <c r="C2" t="str" cm="1">
        <f t="array" ref="C2">IF(Working!$A2="","",INDEX(Working!$A$2:INDEX(Working!$A:$A, MATCH("zzz", Working!$A:$A)), MOD(ROW()-ROW(C$2)+C$1, COUNTA(Working!$A$2:INDEX(Working!$A:$A, MATCH("zzz", Working!$A:$A)))) + 1))</f>
        <v>auto-favorites</v>
      </c>
      <c r="D2" t="str" cm="1">
        <f t="array" ref="D2">IF(Working!$A2="","",INDEX(Working!$A$2:INDEX(Working!$A:$A, MATCH("zzz", Working!$A:$A)), MOD(ROW()-ROW(D$2)+D$1, COUNTA(Working!$A$2:INDEX(Working!$A:$A, MATCH("zzz", Working!$A:$A)))) + 1))</f>
        <v>auto-lastplayed</v>
      </c>
      <c r="E2" t="str" cm="1">
        <f t="array" ref="E2">IF(Working!$A2="","",INDEX(Working!$A$2:INDEX(Working!$A:$A, MATCH("zzz", Working!$A:$A)), MOD(ROW()-ROW(E$2)+E$1, COUNTA(Working!$A$2:INDEX(Working!$A:$A, MATCH("zzz", Working!$A:$A)))) + 1))</f>
        <v>androidapps</v>
      </c>
      <c r="F2" t="str" cm="1">
        <f t="array" ref="F2">IF(Working!$A2="","",INDEX(Working!$A$2:INDEX(Working!$A:$A, MATCH("zzz", Working!$A:$A)), MOD(ROW()-ROW(F$2)+F$1, COUNTA(Working!$A$2:INDEX(Working!$A:$A, MATCH("zzz", Working!$A:$A)))) + 1))</f>
        <v>emulators</v>
      </c>
      <c r="G2" t="str" cm="1">
        <f t="array" ref="G2">IF(Working!$A2="","",INDEX(Working!$A$2:INDEX(Working!$A:$A, MATCH("zzz", Working!$A:$A)), MOD(ROW()-ROW(G$2)+G$1, COUNTA(Working!$A$2:INDEX(Working!$A:$A, MATCH("zzz", Working!$A:$A)))) + 1))</f>
        <v>androidgames</v>
      </c>
      <c r="H2" t="str" cm="1">
        <f t="array" ref="H2">IF(Working!$A2="","",INDEX(Working!$A$2:INDEX(Working!$A:$A, MATCH("zzz", Working!$A:$A)), MOD(ROW()-ROW(H$2)+H$1, COUNTA(Working!$A$2:INDEX(Working!$A:$A, MATCH("zzz", Working!$A:$A)))) + 1))</f>
        <v>windows</v>
      </c>
      <c r="I2" t="str" cm="1">
        <f t="array" ref="I2">IF(Working!$A2="","",INDEX(Working!$A$2:INDEX(Working!$A:$A, MATCH("zzz", Working!$A:$A)), MOD(ROW()-ROW(I$2)+I$1, COUNTA(Working!$A$2:INDEX(Working!$A:$A, MATCH("zzz", Working!$A:$A)))) + 1))</f>
        <v>arcade</v>
      </c>
      <c r="J2" t="str" cm="1">
        <f t="array" ref="J2">IF(Working!$A2="","",INDEX(Working!$A$2:INDEX(Working!$A:$A, MATCH("zzz", Working!$A:$A)), MOD(ROW()-ROW(J$2)+J$1, COUNTA(Working!$A$2:INDEX(Working!$A:$A, MATCH("zzz", Working!$A:$A)))) + 1))</f>
        <v>nes</v>
      </c>
      <c r="K2" t="str" cm="1">
        <f t="array" ref="K2">IF(Working!$A2="","",INDEX(Working!$A$2:INDEX(Working!$A:$A, MATCH("zzz", Working!$A:$A)), MOD(ROW()-ROW(K$2)+K$1, COUNTA(Working!$A$2:INDEX(Working!$A:$A, MATCH("zzz", Working!$A:$A)))) + 1))</f>
        <v>snes</v>
      </c>
      <c r="L2" t="str" cm="1">
        <f t="array" ref="L2">IF(Working!$A2="","",INDEX(Working!$A$2:INDEX(Working!$A:$A, MATCH("zzz", Working!$A:$A)), MOD(ROW()-ROW(L$2)+L$1, COUNTA(Working!$A$2:INDEX(Working!$A:$A, MATCH("zzz", Working!$A:$A)))) + 1))</f>
        <v>n64</v>
      </c>
      <c r="N2">
        <f ca="1">MATCH($N$1,Working!A:A,0)-1</f>
        <v>36</v>
      </c>
      <c r="O2" t="str">
        <f t="shared" ref="O2:V2" ca="1" si="0">OFFSET(C2,$N$2-1,0)</f>
        <v>auto-allgames</v>
      </c>
      <c r="P2" t="str">
        <f t="shared" ca="1" si="0"/>
        <v>auto-favorites</v>
      </c>
      <c r="Q2" t="str">
        <f t="shared" ca="1" si="0"/>
        <v>auto-lastplayed</v>
      </c>
      <c r="R2" t="str">
        <f t="shared" ca="1" si="0"/>
        <v>androidapps</v>
      </c>
      <c r="S2" t="str">
        <f t="shared" ca="1" si="0"/>
        <v>emulators</v>
      </c>
      <c r="T2" t="str">
        <f t="shared" ca="1" si="0"/>
        <v>androidgames</v>
      </c>
      <c r="U2" t="str">
        <f t="shared" ca="1" si="0"/>
        <v>windows</v>
      </c>
      <c r="V2" t="str">
        <f t="shared" ca="1" si="0"/>
        <v>arcade</v>
      </c>
      <c r="W2" t="str">
        <f t="shared" ref="W2" ca="1" si="1">OFFSET(K2,$N$2-1,0)</f>
        <v>nes</v>
      </c>
      <c r="X2" t="str">
        <f t="shared" ref="X2" ca="1" si="2">OFFSET(L2,$N$2-1,0)</f>
        <v>snes</v>
      </c>
      <c r="Z2" t="str" cm="1">
        <f t="array" ref="Z2:Z37">INDEX(_xlfn.ANCHORARRAY(Working!A2), , 1)</f>
        <v>androidapps</v>
      </c>
      <c r="AB2" t="b">
        <v>1</v>
      </c>
    </row>
    <row r="3" spans="1:28" ht="15.75" customHeight="1" x14ac:dyDescent="0.2">
      <c r="A3" t="str">
        <v>emulators</v>
      </c>
      <c r="B3" t="str">
        <v>002</v>
      </c>
      <c r="C3" t="str" cm="1">
        <f t="array" ref="C3">IF(Working!$A3="","",INDEX(Working!$A$2:INDEX(Working!$A:$A, MATCH("zzz", Working!$A:$A)), MOD(ROW()-ROW(C$2)+C$1, COUNTA(Working!$A$2:INDEX(Working!$A:$A, MATCH("zzz", Working!$A:$A)))) + 1))</f>
        <v>auto-lastplayed</v>
      </c>
      <c r="D3" t="str" cm="1">
        <f t="array" ref="D3">IF(Working!$A3="","",INDEX(Working!$A$2:INDEX(Working!$A:$A, MATCH("zzz", Working!$A:$A)), MOD(ROW()-ROW(D$2)+D$1, COUNTA(Working!$A$2:INDEX(Working!$A:$A, MATCH("zzz", Working!$A:$A)))) + 1))</f>
        <v>androidapps</v>
      </c>
      <c r="E3" t="str" cm="1">
        <f t="array" ref="E3">IF(Working!$A3="","",INDEX(Working!$A$2:INDEX(Working!$A:$A, MATCH("zzz", Working!$A:$A)), MOD(ROW()-ROW(E$2)+E$1, COUNTA(Working!$A$2:INDEX(Working!$A:$A, MATCH("zzz", Working!$A:$A)))) + 1))</f>
        <v>emulators</v>
      </c>
      <c r="F3" t="str" cm="1">
        <f t="array" ref="F3">IF(Working!$A3="","",INDEX(Working!$A$2:INDEX(Working!$A:$A, MATCH("zzz", Working!$A:$A)), MOD(ROW()-ROW(F$2)+F$1, COUNTA(Working!$A$2:INDEX(Working!$A:$A, MATCH("zzz", Working!$A:$A)))) + 1))</f>
        <v>androidgames</v>
      </c>
      <c r="G3" t="str" cm="1">
        <f t="array" ref="G3">IF(Working!$A3="","",INDEX(Working!$A$2:INDEX(Working!$A:$A, MATCH("zzz", Working!$A:$A)), MOD(ROW()-ROW(G$2)+G$1, COUNTA(Working!$A$2:INDEX(Working!$A:$A, MATCH("zzz", Working!$A:$A)))) + 1))</f>
        <v>windows</v>
      </c>
      <c r="H3" t="str" cm="1">
        <f t="array" ref="H3">IF(Working!$A3="","",INDEX(Working!$A$2:INDEX(Working!$A:$A, MATCH("zzz", Working!$A:$A)), MOD(ROW()-ROW(H$2)+H$1, COUNTA(Working!$A$2:INDEX(Working!$A:$A, MATCH("zzz", Working!$A:$A)))) + 1))</f>
        <v>arcade</v>
      </c>
      <c r="I3" t="str" cm="1">
        <f t="array" ref="I3">IF(Working!$A3="","",INDEX(Working!$A$2:INDEX(Working!$A:$A, MATCH("zzz", Working!$A:$A)), MOD(ROW()-ROW(I$2)+I$1, COUNTA(Working!$A$2:INDEX(Working!$A:$A, MATCH("zzz", Working!$A:$A)))) + 1))</f>
        <v>nes</v>
      </c>
      <c r="J3" t="str" cm="1">
        <f t="array" ref="J3">IF(Working!$A3="","",INDEX(Working!$A$2:INDEX(Working!$A:$A, MATCH("zzz", Working!$A:$A)), MOD(ROW()-ROW(J$2)+J$1, COUNTA(Working!$A$2:INDEX(Working!$A:$A, MATCH("zzz", Working!$A:$A)))) + 1))</f>
        <v>snes</v>
      </c>
      <c r="K3" t="str" cm="1">
        <f t="array" ref="K3">IF(Working!$A3="","",INDEX(Working!$A$2:INDEX(Working!$A:$A, MATCH("zzz", Working!$A:$A)), MOD(ROW()-ROW(K$2)+K$1, COUNTA(Working!$A$2:INDEX(Working!$A:$A, MATCH("zzz", Working!$A:$A)))) + 1))</f>
        <v>n64</v>
      </c>
      <c r="L3" t="str" cm="1">
        <f t="array" ref="L3">IF(Working!$A3="","",INDEX(Working!$A$2:INDEX(Working!$A:$A, MATCH("zzz", Working!$A:$A)), MOD(ROW()-ROW(L$2)+L$1, COUNTA(Working!$A$2:INDEX(Working!$A:$A, MATCH("zzz", Working!$A:$A)))) + 1))</f>
        <v>gc</v>
      </c>
      <c r="Z3" t="str">
        <v>emulators</v>
      </c>
    </row>
    <row r="4" spans="1:28" ht="15.75" customHeight="1" x14ac:dyDescent="0.2">
      <c r="A4" t="str">
        <v>androidgames</v>
      </c>
      <c r="B4" t="str">
        <v>003</v>
      </c>
      <c r="C4" t="str" cm="1">
        <f t="array" ref="C4">IF(Working!$A4="","",INDEX(Working!$A$2:INDEX(Working!$A:$A, MATCH("zzz", Working!$A:$A)), MOD(ROW()-ROW(C$2)+C$1, COUNTA(Working!$A$2:INDEX(Working!$A:$A, MATCH("zzz", Working!$A:$A)))) + 1))</f>
        <v>androidapps</v>
      </c>
      <c r="D4" t="str" cm="1">
        <f t="array" ref="D4">IF(Working!$A4="","",INDEX(Working!$A$2:INDEX(Working!$A:$A, MATCH("zzz", Working!$A:$A)), MOD(ROW()-ROW(D$2)+D$1, COUNTA(Working!$A$2:INDEX(Working!$A:$A, MATCH("zzz", Working!$A:$A)))) + 1))</f>
        <v>emulators</v>
      </c>
      <c r="E4" t="str" cm="1">
        <f t="array" ref="E4">IF(Working!$A4="","",INDEX(Working!$A$2:INDEX(Working!$A:$A, MATCH("zzz", Working!$A:$A)), MOD(ROW()-ROW(E$2)+E$1, COUNTA(Working!$A$2:INDEX(Working!$A:$A, MATCH("zzz", Working!$A:$A)))) + 1))</f>
        <v>androidgames</v>
      </c>
      <c r="F4" t="str" cm="1">
        <f t="array" ref="F4">IF(Working!$A4="","",INDEX(Working!$A$2:INDEX(Working!$A:$A, MATCH("zzz", Working!$A:$A)), MOD(ROW()-ROW(F$2)+F$1, COUNTA(Working!$A$2:INDEX(Working!$A:$A, MATCH("zzz", Working!$A:$A)))) + 1))</f>
        <v>windows</v>
      </c>
      <c r="G4" t="str" cm="1">
        <f t="array" ref="G4">IF(Working!$A4="","",INDEX(Working!$A$2:INDEX(Working!$A:$A, MATCH("zzz", Working!$A:$A)), MOD(ROW()-ROW(G$2)+G$1, COUNTA(Working!$A$2:INDEX(Working!$A:$A, MATCH("zzz", Working!$A:$A)))) + 1))</f>
        <v>arcade</v>
      </c>
      <c r="H4" t="str" cm="1">
        <f t="array" ref="H4">IF(Working!$A4="","",INDEX(Working!$A$2:INDEX(Working!$A:$A, MATCH("zzz", Working!$A:$A)), MOD(ROW()-ROW(H$2)+H$1, COUNTA(Working!$A$2:INDEX(Working!$A:$A, MATCH("zzz", Working!$A:$A)))) + 1))</f>
        <v>nes</v>
      </c>
      <c r="I4" t="str" cm="1">
        <f t="array" ref="I4">IF(Working!$A4="","",INDEX(Working!$A$2:INDEX(Working!$A:$A, MATCH("zzz", Working!$A:$A)), MOD(ROW()-ROW(I$2)+I$1, COUNTA(Working!$A$2:INDEX(Working!$A:$A, MATCH("zzz", Working!$A:$A)))) + 1))</f>
        <v>snes</v>
      </c>
      <c r="J4" t="str" cm="1">
        <f t="array" ref="J4">IF(Working!$A4="","",INDEX(Working!$A$2:INDEX(Working!$A:$A, MATCH("zzz", Working!$A:$A)), MOD(ROW()-ROW(J$2)+J$1, COUNTA(Working!$A$2:INDEX(Working!$A:$A, MATCH("zzz", Working!$A:$A)))) + 1))</f>
        <v>n64</v>
      </c>
      <c r="K4" t="str" cm="1">
        <f t="array" ref="K4">IF(Working!$A4="","",INDEX(Working!$A$2:INDEX(Working!$A:$A, MATCH("zzz", Working!$A:$A)), MOD(ROW()-ROW(K$2)+K$1, COUNTA(Working!$A$2:INDEX(Working!$A:$A, MATCH("zzz", Working!$A:$A)))) + 1))</f>
        <v>gc</v>
      </c>
      <c r="L4" t="str" cm="1">
        <f t="array" ref="L4">IF(Working!$A4="","",INDEX(Working!$A$2:INDEX(Working!$A:$A, MATCH("zzz", Working!$A:$A)), MOD(ROW()-ROW(L$2)+L$1, COUNTA(Working!$A$2:INDEX(Working!$A:$A, MATCH("zzz", Working!$A:$A)))) + 1))</f>
        <v>wii</v>
      </c>
      <c r="Z4" t="str">
        <v>androidgames</v>
      </c>
    </row>
    <row r="5" spans="1:28" ht="15.75" customHeight="1" x14ac:dyDescent="0.2">
      <c r="A5" t="str">
        <v>windows</v>
      </c>
      <c r="B5" t="str">
        <v>004</v>
      </c>
      <c r="C5" t="str" cm="1">
        <f t="array" ref="C5">IF(Working!$A5="","",INDEX(Working!$A$2:INDEX(Working!$A:$A, MATCH("zzz", Working!$A:$A)), MOD(ROW()-ROW(C$2)+C$1, COUNTA(Working!$A$2:INDEX(Working!$A:$A, MATCH("zzz", Working!$A:$A)))) + 1))</f>
        <v>emulators</v>
      </c>
      <c r="D5" t="str" cm="1">
        <f t="array" ref="D5">IF(Working!$A5="","",INDEX(Working!$A$2:INDEX(Working!$A:$A, MATCH("zzz", Working!$A:$A)), MOD(ROW()-ROW(D$2)+D$1, COUNTA(Working!$A$2:INDEX(Working!$A:$A, MATCH("zzz", Working!$A:$A)))) + 1))</f>
        <v>androidgames</v>
      </c>
      <c r="E5" t="str" cm="1">
        <f t="array" ref="E5">IF(Working!$A5="","",INDEX(Working!$A$2:INDEX(Working!$A:$A, MATCH("zzz", Working!$A:$A)), MOD(ROW()-ROW(E$2)+E$1, COUNTA(Working!$A$2:INDEX(Working!$A:$A, MATCH("zzz", Working!$A:$A)))) + 1))</f>
        <v>windows</v>
      </c>
      <c r="F5" t="str" cm="1">
        <f t="array" ref="F5">IF(Working!$A5="","",INDEX(Working!$A$2:INDEX(Working!$A:$A, MATCH("zzz", Working!$A:$A)), MOD(ROW()-ROW(F$2)+F$1, COUNTA(Working!$A$2:INDEX(Working!$A:$A, MATCH("zzz", Working!$A:$A)))) + 1))</f>
        <v>arcade</v>
      </c>
      <c r="G5" t="str" cm="1">
        <f t="array" ref="G5">IF(Working!$A5="","",INDEX(Working!$A$2:INDEX(Working!$A:$A, MATCH("zzz", Working!$A:$A)), MOD(ROW()-ROW(G$2)+G$1, COUNTA(Working!$A$2:INDEX(Working!$A:$A, MATCH("zzz", Working!$A:$A)))) + 1))</f>
        <v>nes</v>
      </c>
      <c r="H5" t="str" cm="1">
        <f t="array" ref="H5">IF(Working!$A5="","",INDEX(Working!$A$2:INDEX(Working!$A:$A, MATCH("zzz", Working!$A:$A)), MOD(ROW()-ROW(H$2)+H$1, COUNTA(Working!$A$2:INDEX(Working!$A:$A, MATCH("zzz", Working!$A:$A)))) + 1))</f>
        <v>snes</v>
      </c>
      <c r="I5" t="str" cm="1">
        <f t="array" ref="I5">IF(Working!$A5="","",INDEX(Working!$A$2:INDEX(Working!$A:$A, MATCH("zzz", Working!$A:$A)), MOD(ROW()-ROW(I$2)+I$1, COUNTA(Working!$A$2:INDEX(Working!$A:$A, MATCH("zzz", Working!$A:$A)))) + 1))</f>
        <v>n64</v>
      </c>
      <c r="J5" t="str" cm="1">
        <f t="array" ref="J5">IF(Working!$A5="","",INDEX(Working!$A$2:INDEX(Working!$A:$A, MATCH("zzz", Working!$A:$A)), MOD(ROW()-ROW(J$2)+J$1, COUNTA(Working!$A$2:INDEX(Working!$A:$A, MATCH("zzz", Working!$A:$A)))) + 1))</f>
        <v>gc</v>
      </c>
      <c r="K5" t="str" cm="1">
        <f t="array" ref="K5">IF(Working!$A5="","",INDEX(Working!$A$2:INDEX(Working!$A:$A, MATCH("zzz", Working!$A:$A)), MOD(ROW()-ROW(K$2)+K$1, COUNTA(Working!$A$2:INDEX(Working!$A:$A, MATCH("zzz", Working!$A:$A)))) + 1))</f>
        <v>wii</v>
      </c>
      <c r="L5" t="str" cm="1">
        <f t="array" ref="L5">IF(Working!$A5="","",INDEX(Working!$A$2:INDEX(Working!$A:$A, MATCH("zzz", Working!$A:$A)), MOD(ROW()-ROW(L$2)+L$1, COUNTA(Working!$A$2:INDEX(Working!$A:$A, MATCH("zzz", Working!$A:$A)))) + 1))</f>
        <v>wiiu</v>
      </c>
      <c r="Z5" t="str">
        <v>windows</v>
      </c>
    </row>
    <row r="6" spans="1:28" ht="15.75" customHeight="1" x14ac:dyDescent="0.2">
      <c r="A6" t="str">
        <v>arcade</v>
      </c>
      <c r="B6" t="str">
        <v>004a</v>
      </c>
      <c r="C6" t="str" cm="1">
        <f t="array" ref="C6">IF(Working!$A6="","",INDEX(Working!$A$2:INDEX(Working!$A:$A, MATCH("zzz", Working!$A:$A)), MOD(ROW()-ROW(C$2)+C$1, COUNTA(Working!$A$2:INDEX(Working!$A:$A, MATCH("zzz", Working!$A:$A)))) + 1))</f>
        <v>androidgames</v>
      </c>
      <c r="D6" t="str" cm="1">
        <f t="array" ref="D6">IF(Working!$A6="","",INDEX(Working!$A$2:INDEX(Working!$A:$A, MATCH("zzz", Working!$A:$A)), MOD(ROW()-ROW(D$2)+D$1, COUNTA(Working!$A$2:INDEX(Working!$A:$A, MATCH("zzz", Working!$A:$A)))) + 1))</f>
        <v>windows</v>
      </c>
      <c r="E6" t="str" cm="1">
        <f t="array" ref="E6">IF(Working!$A6="","",INDEX(Working!$A$2:INDEX(Working!$A:$A, MATCH("zzz", Working!$A:$A)), MOD(ROW()-ROW(E$2)+E$1, COUNTA(Working!$A$2:INDEX(Working!$A:$A, MATCH("zzz", Working!$A:$A)))) + 1))</f>
        <v>arcade</v>
      </c>
      <c r="F6" t="str" cm="1">
        <f t="array" ref="F6">IF(Working!$A6="","",INDEX(Working!$A$2:INDEX(Working!$A:$A, MATCH("zzz", Working!$A:$A)), MOD(ROW()-ROW(F$2)+F$1, COUNTA(Working!$A$2:INDEX(Working!$A:$A, MATCH("zzz", Working!$A:$A)))) + 1))</f>
        <v>nes</v>
      </c>
      <c r="G6" t="str" cm="1">
        <f t="array" ref="G6">IF(Working!$A6="","",INDEX(Working!$A$2:INDEX(Working!$A:$A, MATCH("zzz", Working!$A:$A)), MOD(ROW()-ROW(G$2)+G$1, COUNTA(Working!$A$2:INDEX(Working!$A:$A, MATCH("zzz", Working!$A:$A)))) + 1))</f>
        <v>snes</v>
      </c>
      <c r="H6" t="str" cm="1">
        <f t="array" ref="H6">IF(Working!$A6="","",INDEX(Working!$A$2:INDEX(Working!$A:$A, MATCH("zzz", Working!$A:$A)), MOD(ROW()-ROW(H$2)+H$1, COUNTA(Working!$A$2:INDEX(Working!$A:$A, MATCH("zzz", Working!$A:$A)))) + 1))</f>
        <v>n64</v>
      </c>
      <c r="I6" t="str" cm="1">
        <f t="array" ref="I6">IF(Working!$A6="","",INDEX(Working!$A$2:INDEX(Working!$A:$A, MATCH("zzz", Working!$A:$A)), MOD(ROW()-ROW(I$2)+I$1, COUNTA(Working!$A$2:INDEX(Working!$A:$A, MATCH("zzz", Working!$A:$A)))) + 1))</f>
        <v>gc</v>
      </c>
      <c r="J6" t="str" cm="1">
        <f t="array" ref="J6">IF(Working!$A6="","",INDEX(Working!$A$2:INDEX(Working!$A:$A, MATCH("zzz", Working!$A:$A)), MOD(ROW()-ROW(J$2)+J$1, COUNTA(Working!$A$2:INDEX(Working!$A:$A, MATCH("zzz", Working!$A:$A)))) + 1))</f>
        <v>wii</v>
      </c>
      <c r="K6" t="str" cm="1">
        <f t="array" ref="K6">IF(Working!$A6="","",INDEX(Working!$A$2:INDEX(Working!$A:$A, MATCH("zzz", Working!$A:$A)), MOD(ROW()-ROW(K$2)+K$1, COUNTA(Working!$A$2:INDEX(Working!$A:$A, MATCH("zzz", Working!$A:$A)))) + 1))</f>
        <v>wiiu</v>
      </c>
      <c r="L6" t="str" cm="1">
        <f t="array" ref="L6">IF(Working!$A6="","",INDEX(Working!$A$2:INDEX(Working!$A:$A, MATCH("zzz", Working!$A:$A)), MOD(ROW()-ROW(L$2)+L$1, COUNTA(Working!$A$2:INDEX(Working!$A:$A, MATCH("zzz", Working!$A:$A)))) + 1))</f>
        <v>switch</v>
      </c>
      <c r="Z6" t="str">
        <v>arcade</v>
      </c>
    </row>
    <row r="7" spans="1:28" ht="15.75" customHeight="1" x14ac:dyDescent="0.2">
      <c r="A7" t="str">
        <v>nes</v>
      </c>
      <c r="B7" t="str">
        <v>005</v>
      </c>
      <c r="C7" t="str" cm="1">
        <f t="array" ref="C7">IF(Working!$A7="","",INDEX(Working!$A$2:INDEX(Working!$A:$A, MATCH("zzz", Working!$A:$A)), MOD(ROW()-ROW(C$2)+C$1, COUNTA(Working!$A$2:INDEX(Working!$A:$A, MATCH("zzz", Working!$A:$A)))) + 1))</f>
        <v>windows</v>
      </c>
      <c r="D7" t="str" cm="1">
        <f t="array" ref="D7">IF(Working!$A7="","",INDEX(Working!$A$2:INDEX(Working!$A:$A, MATCH("zzz", Working!$A:$A)), MOD(ROW()-ROW(D$2)+D$1, COUNTA(Working!$A$2:INDEX(Working!$A:$A, MATCH("zzz", Working!$A:$A)))) + 1))</f>
        <v>arcade</v>
      </c>
      <c r="E7" t="str" cm="1">
        <f t="array" ref="E7">IF(Working!$A7="","",INDEX(Working!$A$2:INDEX(Working!$A:$A, MATCH("zzz", Working!$A:$A)), MOD(ROW()-ROW(E$2)+E$1, COUNTA(Working!$A$2:INDEX(Working!$A:$A, MATCH("zzz", Working!$A:$A)))) + 1))</f>
        <v>nes</v>
      </c>
      <c r="F7" t="str" cm="1">
        <f t="array" ref="F7">IF(Working!$A7="","",INDEX(Working!$A$2:INDEX(Working!$A:$A, MATCH("zzz", Working!$A:$A)), MOD(ROW()-ROW(F$2)+F$1, COUNTA(Working!$A$2:INDEX(Working!$A:$A, MATCH("zzz", Working!$A:$A)))) + 1))</f>
        <v>snes</v>
      </c>
      <c r="G7" t="str" cm="1">
        <f t="array" ref="G7">IF(Working!$A7="","",INDEX(Working!$A$2:INDEX(Working!$A:$A, MATCH("zzz", Working!$A:$A)), MOD(ROW()-ROW(G$2)+G$1, COUNTA(Working!$A$2:INDEX(Working!$A:$A, MATCH("zzz", Working!$A:$A)))) + 1))</f>
        <v>n64</v>
      </c>
      <c r="H7" t="str" cm="1">
        <f t="array" ref="H7">IF(Working!$A7="","",INDEX(Working!$A$2:INDEX(Working!$A:$A, MATCH("zzz", Working!$A:$A)), MOD(ROW()-ROW(H$2)+H$1, COUNTA(Working!$A$2:INDEX(Working!$A:$A, MATCH("zzz", Working!$A:$A)))) + 1))</f>
        <v>gc</v>
      </c>
      <c r="I7" t="str" cm="1">
        <f t="array" ref="I7">IF(Working!$A7="","",INDEX(Working!$A$2:INDEX(Working!$A:$A, MATCH("zzz", Working!$A:$A)), MOD(ROW()-ROW(I$2)+I$1, COUNTA(Working!$A$2:INDEX(Working!$A:$A, MATCH("zzz", Working!$A:$A)))) + 1))</f>
        <v>wii</v>
      </c>
      <c r="J7" t="str" cm="1">
        <f t="array" ref="J7">IF(Working!$A7="","",INDEX(Working!$A$2:INDEX(Working!$A:$A, MATCH("zzz", Working!$A:$A)), MOD(ROW()-ROW(J$2)+J$1, COUNTA(Working!$A$2:INDEX(Working!$A:$A, MATCH("zzz", Working!$A:$A)))) + 1))</f>
        <v>wiiu</v>
      </c>
      <c r="K7" t="str" cm="1">
        <f t="array" ref="K7">IF(Working!$A7="","",INDEX(Working!$A$2:INDEX(Working!$A:$A, MATCH("zzz", Working!$A:$A)), MOD(ROW()-ROW(K$2)+K$1, COUNTA(Working!$A$2:INDEX(Working!$A:$A, MATCH("zzz", Working!$A:$A)))) + 1))</f>
        <v>switch</v>
      </c>
      <c r="L7" t="str" cm="1">
        <f t="array" ref="L7">IF(Working!$A7="","",INDEX(Working!$A$2:INDEX(Working!$A:$A, MATCH("zzz", Working!$A:$A)), MOD(ROW()-ROW(L$2)+L$1, COUNTA(Working!$A$2:INDEX(Working!$A:$A, MATCH("zzz", Working!$A:$A)))) + 1))</f>
        <v>gb</v>
      </c>
      <c r="Z7" t="str">
        <v>nes</v>
      </c>
    </row>
    <row r="8" spans="1:28" ht="15.75" customHeight="1" x14ac:dyDescent="0.2">
      <c r="A8" t="str">
        <v>snes</v>
      </c>
      <c r="B8" t="str">
        <v>006</v>
      </c>
      <c r="C8" t="str" cm="1">
        <f t="array" ref="C8">IF(Working!$A8="","",INDEX(Working!$A$2:INDEX(Working!$A:$A, MATCH("zzz", Working!$A:$A)), MOD(ROW()-ROW(C$2)+C$1, COUNTA(Working!$A$2:INDEX(Working!$A:$A, MATCH("zzz", Working!$A:$A)))) + 1))</f>
        <v>arcade</v>
      </c>
      <c r="D8" t="str" cm="1">
        <f t="array" ref="D8">IF(Working!$A8="","",INDEX(Working!$A$2:INDEX(Working!$A:$A, MATCH("zzz", Working!$A:$A)), MOD(ROW()-ROW(D$2)+D$1, COUNTA(Working!$A$2:INDEX(Working!$A:$A, MATCH("zzz", Working!$A:$A)))) + 1))</f>
        <v>nes</v>
      </c>
      <c r="E8" t="str" cm="1">
        <f t="array" ref="E8">IF(Working!$A8="","",INDEX(Working!$A$2:INDEX(Working!$A:$A, MATCH("zzz", Working!$A:$A)), MOD(ROW()-ROW(E$2)+E$1, COUNTA(Working!$A$2:INDEX(Working!$A:$A, MATCH("zzz", Working!$A:$A)))) + 1))</f>
        <v>snes</v>
      </c>
      <c r="F8" t="str" cm="1">
        <f t="array" ref="F8">IF(Working!$A8="","",INDEX(Working!$A$2:INDEX(Working!$A:$A, MATCH("zzz", Working!$A:$A)), MOD(ROW()-ROW(F$2)+F$1, COUNTA(Working!$A$2:INDEX(Working!$A:$A, MATCH("zzz", Working!$A:$A)))) + 1))</f>
        <v>n64</v>
      </c>
      <c r="G8" t="str" cm="1">
        <f t="array" ref="G8">IF(Working!$A8="","",INDEX(Working!$A$2:INDEX(Working!$A:$A, MATCH("zzz", Working!$A:$A)), MOD(ROW()-ROW(G$2)+G$1, COUNTA(Working!$A$2:INDEX(Working!$A:$A, MATCH("zzz", Working!$A:$A)))) + 1))</f>
        <v>gc</v>
      </c>
      <c r="H8" t="str" cm="1">
        <f t="array" ref="H8">IF(Working!$A8="","",INDEX(Working!$A$2:INDEX(Working!$A:$A, MATCH("zzz", Working!$A:$A)), MOD(ROW()-ROW(H$2)+H$1, COUNTA(Working!$A$2:INDEX(Working!$A:$A, MATCH("zzz", Working!$A:$A)))) + 1))</f>
        <v>wii</v>
      </c>
      <c r="I8" t="str" cm="1">
        <f t="array" ref="I8">IF(Working!$A8="","",INDEX(Working!$A$2:INDEX(Working!$A:$A, MATCH("zzz", Working!$A:$A)), MOD(ROW()-ROW(I$2)+I$1, COUNTA(Working!$A$2:INDEX(Working!$A:$A, MATCH("zzz", Working!$A:$A)))) + 1))</f>
        <v>wiiu</v>
      </c>
      <c r="J8" t="str" cm="1">
        <f t="array" ref="J8">IF(Working!$A8="","",INDEX(Working!$A$2:INDEX(Working!$A:$A, MATCH("zzz", Working!$A:$A)), MOD(ROW()-ROW(J$2)+J$1, COUNTA(Working!$A$2:INDEX(Working!$A:$A, MATCH("zzz", Working!$A:$A)))) + 1))</f>
        <v>switch</v>
      </c>
      <c r="K8" t="str" cm="1">
        <f t="array" ref="K8">IF(Working!$A8="","",INDEX(Working!$A$2:INDEX(Working!$A:$A, MATCH("zzz", Working!$A:$A)), MOD(ROW()-ROW(K$2)+K$1, COUNTA(Working!$A$2:INDEX(Working!$A:$A, MATCH("zzz", Working!$A:$A)))) + 1))</f>
        <v>gb</v>
      </c>
      <c r="L8" t="str" cm="1">
        <f t="array" ref="L8">IF(Working!$A8="","",INDEX(Working!$A$2:INDEX(Working!$A:$A, MATCH("zzz", Working!$A:$A)), MOD(ROW()-ROW(L$2)+L$1, COUNTA(Working!$A$2:INDEX(Working!$A:$A, MATCH("zzz", Working!$A:$A)))) + 1))</f>
        <v>gbc</v>
      </c>
      <c r="Z8" t="str">
        <v>snes</v>
      </c>
    </row>
    <row r="9" spans="1:28" ht="15.75" customHeight="1" x14ac:dyDescent="0.2">
      <c r="A9" t="str">
        <v>n64</v>
      </c>
      <c r="B9" t="str">
        <v>007</v>
      </c>
      <c r="C9" t="str" cm="1">
        <f t="array" ref="C9">IF(Working!$A9="","",INDEX(Working!$A$2:INDEX(Working!$A:$A, MATCH("zzz", Working!$A:$A)), MOD(ROW()-ROW(C$2)+C$1, COUNTA(Working!$A$2:INDEX(Working!$A:$A, MATCH("zzz", Working!$A:$A)))) + 1))</f>
        <v>nes</v>
      </c>
      <c r="D9" t="str" cm="1">
        <f t="array" ref="D9">IF(Working!$A9="","",INDEX(Working!$A$2:INDEX(Working!$A:$A, MATCH("zzz", Working!$A:$A)), MOD(ROW()-ROW(D$2)+D$1, COUNTA(Working!$A$2:INDEX(Working!$A:$A, MATCH("zzz", Working!$A:$A)))) + 1))</f>
        <v>snes</v>
      </c>
      <c r="E9" t="str" cm="1">
        <f t="array" ref="E9">IF(Working!$A9="","",INDEX(Working!$A$2:INDEX(Working!$A:$A, MATCH("zzz", Working!$A:$A)), MOD(ROW()-ROW(E$2)+E$1, COUNTA(Working!$A$2:INDEX(Working!$A:$A, MATCH("zzz", Working!$A:$A)))) + 1))</f>
        <v>n64</v>
      </c>
      <c r="F9" t="str" cm="1">
        <f t="array" ref="F9">IF(Working!$A9="","",INDEX(Working!$A$2:INDEX(Working!$A:$A, MATCH("zzz", Working!$A:$A)), MOD(ROW()-ROW(F$2)+F$1, COUNTA(Working!$A$2:INDEX(Working!$A:$A, MATCH("zzz", Working!$A:$A)))) + 1))</f>
        <v>gc</v>
      </c>
      <c r="G9" t="str" cm="1">
        <f t="array" ref="G9">IF(Working!$A9="","",INDEX(Working!$A$2:INDEX(Working!$A:$A, MATCH("zzz", Working!$A:$A)), MOD(ROW()-ROW(G$2)+G$1, COUNTA(Working!$A$2:INDEX(Working!$A:$A, MATCH("zzz", Working!$A:$A)))) + 1))</f>
        <v>wii</v>
      </c>
      <c r="H9" t="str" cm="1">
        <f t="array" ref="H9">IF(Working!$A9="","",INDEX(Working!$A$2:INDEX(Working!$A:$A, MATCH("zzz", Working!$A:$A)), MOD(ROW()-ROW(H$2)+H$1, COUNTA(Working!$A$2:INDEX(Working!$A:$A, MATCH("zzz", Working!$A:$A)))) + 1))</f>
        <v>wiiu</v>
      </c>
      <c r="I9" t="str" cm="1">
        <f t="array" ref="I9">IF(Working!$A9="","",INDEX(Working!$A$2:INDEX(Working!$A:$A, MATCH("zzz", Working!$A:$A)), MOD(ROW()-ROW(I$2)+I$1, COUNTA(Working!$A$2:INDEX(Working!$A:$A, MATCH("zzz", Working!$A:$A)))) + 1))</f>
        <v>switch</v>
      </c>
      <c r="J9" t="str" cm="1">
        <f t="array" ref="J9">IF(Working!$A9="","",INDEX(Working!$A$2:INDEX(Working!$A:$A, MATCH("zzz", Working!$A:$A)), MOD(ROW()-ROW(J$2)+J$1, COUNTA(Working!$A$2:INDEX(Working!$A:$A, MATCH("zzz", Working!$A:$A)))) + 1))</f>
        <v>gb</v>
      </c>
      <c r="K9" t="str" cm="1">
        <f t="array" ref="K9">IF(Working!$A9="","",INDEX(Working!$A$2:INDEX(Working!$A:$A, MATCH("zzz", Working!$A:$A)), MOD(ROW()-ROW(K$2)+K$1, COUNTA(Working!$A$2:INDEX(Working!$A:$A, MATCH("zzz", Working!$A:$A)))) + 1))</f>
        <v>gbc</v>
      </c>
      <c r="L9" t="str" cm="1">
        <f t="array" ref="L9">IF(Working!$A9="","",INDEX(Working!$A$2:INDEX(Working!$A:$A, MATCH("zzz", Working!$A:$A)), MOD(ROW()-ROW(L$2)+L$1, COUNTA(Working!$A$2:INDEX(Working!$A:$A, MATCH("zzz", Working!$A:$A)))) + 1))</f>
        <v>gba</v>
      </c>
      <c r="Z9" t="str">
        <v>n64</v>
      </c>
    </row>
    <row r="10" spans="1:28" ht="15.75" customHeight="1" x14ac:dyDescent="0.2">
      <c r="A10" t="str">
        <v>gc</v>
      </c>
      <c r="B10" t="str">
        <v>008</v>
      </c>
      <c r="C10" t="str" cm="1">
        <f t="array" ref="C10">IF(Working!$A10="","",INDEX(Working!$A$2:INDEX(Working!$A:$A, MATCH("zzz", Working!$A:$A)), MOD(ROW()-ROW(C$2)+C$1, COUNTA(Working!$A$2:INDEX(Working!$A:$A, MATCH("zzz", Working!$A:$A)))) + 1))</f>
        <v>snes</v>
      </c>
      <c r="D10" t="str" cm="1">
        <f t="array" ref="D10">IF(Working!$A10="","",INDEX(Working!$A$2:INDEX(Working!$A:$A, MATCH("zzz", Working!$A:$A)), MOD(ROW()-ROW(D$2)+D$1, COUNTA(Working!$A$2:INDEX(Working!$A:$A, MATCH("zzz", Working!$A:$A)))) + 1))</f>
        <v>n64</v>
      </c>
      <c r="E10" t="str" cm="1">
        <f t="array" ref="E10">IF(Working!$A10="","",INDEX(Working!$A$2:INDEX(Working!$A:$A, MATCH("zzz", Working!$A:$A)), MOD(ROW()-ROW(E$2)+E$1, COUNTA(Working!$A$2:INDEX(Working!$A:$A, MATCH("zzz", Working!$A:$A)))) + 1))</f>
        <v>gc</v>
      </c>
      <c r="F10" t="str" cm="1">
        <f t="array" ref="F10">IF(Working!$A10="","",INDEX(Working!$A$2:INDEX(Working!$A:$A, MATCH("zzz", Working!$A:$A)), MOD(ROW()-ROW(F$2)+F$1, COUNTA(Working!$A$2:INDEX(Working!$A:$A, MATCH("zzz", Working!$A:$A)))) + 1))</f>
        <v>wii</v>
      </c>
      <c r="G10" t="str" cm="1">
        <f t="array" ref="G10">IF(Working!$A10="","",INDEX(Working!$A$2:INDEX(Working!$A:$A, MATCH("zzz", Working!$A:$A)), MOD(ROW()-ROW(G$2)+G$1, COUNTA(Working!$A$2:INDEX(Working!$A:$A, MATCH("zzz", Working!$A:$A)))) + 1))</f>
        <v>wiiu</v>
      </c>
      <c r="H10" t="str" cm="1">
        <f t="array" ref="H10">IF(Working!$A10="","",INDEX(Working!$A$2:INDEX(Working!$A:$A, MATCH("zzz", Working!$A:$A)), MOD(ROW()-ROW(H$2)+H$1, COUNTA(Working!$A$2:INDEX(Working!$A:$A, MATCH("zzz", Working!$A:$A)))) + 1))</f>
        <v>switch</v>
      </c>
      <c r="I10" t="str" cm="1">
        <f t="array" ref="I10">IF(Working!$A10="","",INDEX(Working!$A$2:INDEX(Working!$A:$A, MATCH("zzz", Working!$A:$A)), MOD(ROW()-ROW(I$2)+I$1, COUNTA(Working!$A$2:INDEX(Working!$A:$A, MATCH("zzz", Working!$A:$A)))) + 1))</f>
        <v>gb</v>
      </c>
      <c r="J10" t="str" cm="1">
        <f t="array" ref="J10">IF(Working!$A10="","",INDEX(Working!$A$2:INDEX(Working!$A:$A, MATCH("zzz", Working!$A:$A)), MOD(ROW()-ROW(J$2)+J$1, COUNTA(Working!$A$2:INDEX(Working!$A:$A, MATCH("zzz", Working!$A:$A)))) + 1))</f>
        <v>gbc</v>
      </c>
      <c r="K10" t="str" cm="1">
        <f t="array" ref="K10">IF(Working!$A10="","",INDEX(Working!$A$2:INDEX(Working!$A:$A, MATCH("zzz", Working!$A:$A)), MOD(ROW()-ROW(K$2)+K$1, COUNTA(Working!$A$2:INDEX(Working!$A:$A, MATCH("zzz", Working!$A:$A)))) + 1))</f>
        <v>gba</v>
      </c>
      <c r="L10" t="str" cm="1">
        <f t="array" ref="L10">IF(Working!$A10="","",INDEX(Working!$A$2:INDEX(Working!$A:$A, MATCH("zzz", Working!$A:$A)), MOD(ROW()-ROW(L$2)+L$1, COUNTA(Working!$A$2:INDEX(Working!$A:$A, MATCH("zzz", Working!$A:$A)))) + 1))</f>
        <v>nds</v>
      </c>
      <c r="Z10" t="str">
        <v>gc</v>
      </c>
    </row>
    <row r="11" spans="1:28" ht="15.75" customHeight="1" x14ac:dyDescent="0.2">
      <c r="A11" t="str">
        <v>wii</v>
      </c>
      <c r="B11" t="str">
        <v>009</v>
      </c>
      <c r="C11" t="str" cm="1">
        <f t="array" ref="C11">IF(Working!$A11="","",INDEX(Working!$A$2:INDEX(Working!$A:$A, MATCH("zzz", Working!$A:$A)), MOD(ROW()-ROW(C$2)+C$1, COUNTA(Working!$A$2:INDEX(Working!$A:$A, MATCH("zzz", Working!$A:$A)))) + 1))</f>
        <v>n64</v>
      </c>
      <c r="D11" t="str" cm="1">
        <f t="array" ref="D11">IF(Working!$A11="","",INDEX(Working!$A$2:INDEX(Working!$A:$A, MATCH("zzz", Working!$A:$A)), MOD(ROW()-ROW(D$2)+D$1, COUNTA(Working!$A$2:INDEX(Working!$A:$A, MATCH("zzz", Working!$A:$A)))) + 1))</f>
        <v>gc</v>
      </c>
      <c r="E11" t="str" cm="1">
        <f t="array" ref="E11">IF(Working!$A11="","",INDEX(Working!$A$2:INDEX(Working!$A:$A, MATCH("zzz", Working!$A:$A)), MOD(ROW()-ROW(E$2)+E$1, COUNTA(Working!$A$2:INDEX(Working!$A:$A, MATCH("zzz", Working!$A:$A)))) + 1))</f>
        <v>wii</v>
      </c>
      <c r="F11" t="str" cm="1">
        <f t="array" ref="F11">IF(Working!$A11="","",INDEX(Working!$A$2:INDEX(Working!$A:$A, MATCH("zzz", Working!$A:$A)), MOD(ROW()-ROW(F$2)+F$1, COUNTA(Working!$A$2:INDEX(Working!$A:$A, MATCH("zzz", Working!$A:$A)))) + 1))</f>
        <v>wiiu</v>
      </c>
      <c r="G11" t="str" cm="1">
        <f t="array" ref="G11">IF(Working!$A11="","",INDEX(Working!$A$2:INDEX(Working!$A:$A, MATCH("zzz", Working!$A:$A)), MOD(ROW()-ROW(G$2)+G$1, COUNTA(Working!$A$2:INDEX(Working!$A:$A, MATCH("zzz", Working!$A:$A)))) + 1))</f>
        <v>switch</v>
      </c>
      <c r="H11" t="str" cm="1">
        <f t="array" ref="H11">IF(Working!$A11="","",INDEX(Working!$A$2:INDEX(Working!$A:$A, MATCH("zzz", Working!$A:$A)), MOD(ROW()-ROW(H$2)+H$1, COUNTA(Working!$A$2:INDEX(Working!$A:$A, MATCH("zzz", Working!$A:$A)))) + 1))</f>
        <v>gb</v>
      </c>
      <c r="I11" t="str" cm="1">
        <f t="array" ref="I11">IF(Working!$A11="","",INDEX(Working!$A$2:INDEX(Working!$A:$A, MATCH("zzz", Working!$A:$A)), MOD(ROW()-ROW(I$2)+I$1, COUNTA(Working!$A$2:INDEX(Working!$A:$A, MATCH("zzz", Working!$A:$A)))) + 1))</f>
        <v>gbc</v>
      </c>
      <c r="J11" t="str" cm="1">
        <f t="array" ref="J11">IF(Working!$A11="","",INDEX(Working!$A$2:INDEX(Working!$A:$A, MATCH("zzz", Working!$A:$A)), MOD(ROW()-ROW(J$2)+J$1, COUNTA(Working!$A$2:INDEX(Working!$A:$A, MATCH("zzz", Working!$A:$A)))) + 1))</f>
        <v>gba</v>
      </c>
      <c r="K11" t="str" cm="1">
        <f t="array" ref="K11">IF(Working!$A11="","",INDEX(Working!$A$2:INDEX(Working!$A:$A, MATCH("zzz", Working!$A:$A)), MOD(ROW()-ROW(K$2)+K$1, COUNTA(Working!$A$2:INDEX(Working!$A:$A, MATCH("zzz", Working!$A:$A)))) + 1))</f>
        <v>nds</v>
      </c>
      <c r="L11" t="str" cm="1">
        <f t="array" ref="L11">IF(Working!$A11="","",INDEX(Working!$A$2:INDEX(Working!$A:$A, MATCH("zzz", Working!$A:$A)), MOD(ROW()-ROW(L$2)+L$1, COUNTA(Working!$A$2:INDEX(Working!$A:$A, MATCH("zzz", Working!$A:$A)))) + 1))</f>
        <v>n3ds</v>
      </c>
      <c r="Z11" t="str">
        <v>wii</v>
      </c>
    </row>
    <row r="12" spans="1:28" ht="15.75" customHeight="1" x14ac:dyDescent="0.2">
      <c r="A12" t="str">
        <v>wiiu</v>
      </c>
      <c r="B12" t="str">
        <v>010</v>
      </c>
      <c r="C12" t="str" cm="1">
        <f t="array" ref="C12">IF(Working!$A12="","",INDEX(Working!$A$2:INDEX(Working!$A:$A, MATCH("zzz", Working!$A:$A)), MOD(ROW()-ROW(C$2)+C$1, COUNTA(Working!$A$2:INDEX(Working!$A:$A, MATCH("zzz", Working!$A:$A)))) + 1))</f>
        <v>gc</v>
      </c>
      <c r="D12" t="str" cm="1">
        <f t="array" ref="D12">IF(Working!$A12="","",INDEX(Working!$A$2:INDEX(Working!$A:$A, MATCH("zzz", Working!$A:$A)), MOD(ROW()-ROW(D$2)+D$1, COUNTA(Working!$A$2:INDEX(Working!$A:$A, MATCH("zzz", Working!$A:$A)))) + 1))</f>
        <v>wii</v>
      </c>
      <c r="E12" t="str" cm="1">
        <f t="array" ref="E12">IF(Working!$A12="","",INDEX(Working!$A$2:INDEX(Working!$A:$A, MATCH("zzz", Working!$A:$A)), MOD(ROW()-ROW(E$2)+E$1, COUNTA(Working!$A$2:INDEX(Working!$A:$A, MATCH("zzz", Working!$A:$A)))) + 1))</f>
        <v>wiiu</v>
      </c>
      <c r="F12" t="str" cm="1">
        <f t="array" ref="F12">IF(Working!$A12="","",INDEX(Working!$A$2:INDEX(Working!$A:$A, MATCH("zzz", Working!$A:$A)), MOD(ROW()-ROW(F$2)+F$1, COUNTA(Working!$A$2:INDEX(Working!$A:$A, MATCH("zzz", Working!$A:$A)))) + 1))</f>
        <v>switch</v>
      </c>
      <c r="G12" t="str" cm="1">
        <f t="array" ref="G12">IF(Working!$A12="","",INDEX(Working!$A$2:INDEX(Working!$A:$A, MATCH("zzz", Working!$A:$A)), MOD(ROW()-ROW(G$2)+G$1, COUNTA(Working!$A$2:INDEX(Working!$A:$A, MATCH("zzz", Working!$A:$A)))) + 1))</f>
        <v>gb</v>
      </c>
      <c r="H12" t="str" cm="1">
        <f t="array" ref="H12">IF(Working!$A12="","",INDEX(Working!$A$2:INDEX(Working!$A:$A, MATCH("zzz", Working!$A:$A)), MOD(ROW()-ROW(H$2)+H$1, COUNTA(Working!$A$2:INDEX(Working!$A:$A, MATCH("zzz", Working!$A:$A)))) + 1))</f>
        <v>gbc</v>
      </c>
      <c r="I12" t="str" cm="1">
        <f t="array" ref="I12">IF(Working!$A12="","",INDEX(Working!$A$2:INDEX(Working!$A:$A, MATCH("zzz", Working!$A:$A)), MOD(ROW()-ROW(I$2)+I$1, COUNTA(Working!$A$2:INDEX(Working!$A:$A, MATCH("zzz", Working!$A:$A)))) + 1))</f>
        <v>gba</v>
      </c>
      <c r="J12" t="str" cm="1">
        <f t="array" ref="J12">IF(Working!$A12="","",INDEX(Working!$A$2:INDEX(Working!$A:$A, MATCH("zzz", Working!$A:$A)), MOD(ROW()-ROW(J$2)+J$1, COUNTA(Working!$A$2:INDEX(Working!$A:$A, MATCH("zzz", Working!$A:$A)))) + 1))</f>
        <v>nds</v>
      </c>
      <c r="K12" t="str" cm="1">
        <f t="array" ref="K12">IF(Working!$A12="","",INDEX(Working!$A$2:INDEX(Working!$A:$A, MATCH("zzz", Working!$A:$A)), MOD(ROW()-ROW(K$2)+K$1, COUNTA(Working!$A$2:INDEX(Working!$A:$A, MATCH("zzz", Working!$A:$A)))) + 1))</f>
        <v>n3ds</v>
      </c>
      <c r="L12" t="str" cm="1">
        <f t="array" ref="L12">IF(Working!$A12="","",INDEX(Working!$A$2:INDEX(Working!$A:$A, MATCH("zzz", Working!$A:$A)), MOD(ROW()-ROW(L$2)+L$1, COUNTA(Working!$A$2:INDEX(Working!$A:$A, MATCH("zzz", Working!$A:$A)))) + 1))</f>
        <v>mastersystem</v>
      </c>
      <c r="Z12" t="str">
        <v>wiiu</v>
      </c>
    </row>
    <row r="13" spans="1:28" ht="15.75" customHeight="1" x14ac:dyDescent="0.2">
      <c r="A13" t="str">
        <v>switch</v>
      </c>
      <c r="B13" t="str">
        <v>011</v>
      </c>
      <c r="C13" t="str" cm="1">
        <f t="array" ref="C13">IF(Working!$A13="","",INDEX(Working!$A$2:INDEX(Working!$A:$A, MATCH("zzz", Working!$A:$A)), MOD(ROW()-ROW(C$2)+C$1, COUNTA(Working!$A$2:INDEX(Working!$A:$A, MATCH("zzz", Working!$A:$A)))) + 1))</f>
        <v>wii</v>
      </c>
      <c r="D13" t="str" cm="1">
        <f t="array" ref="D13">IF(Working!$A13="","",INDEX(Working!$A$2:INDEX(Working!$A:$A, MATCH("zzz", Working!$A:$A)), MOD(ROW()-ROW(D$2)+D$1, COUNTA(Working!$A$2:INDEX(Working!$A:$A, MATCH("zzz", Working!$A:$A)))) + 1))</f>
        <v>wiiu</v>
      </c>
      <c r="E13" t="str" cm="1">
        <f t="array" ref="E13">IF(Working!$A13="","",INDEX(Working!$A$2:INDEX(Working!$A:$A, MATCH("zzz", Working!$A:$A)), MOD(ROW()-ROW(E$2)+E$1, COUNTA(Working!$A$2:INDEX(Working!$A:$A, MATCH("zzz", Working!$A:$A)))) + 1))</f>
        <v>switch</v>
      </c>
      <c r="F13" t="str" cm="1">
        <f t="array" ref="F13">IF(Working!$A13="","",INDEX(Working!$A$2:INDEX(Working!$A:$A, MATCH("zzz", Working!$A:$A)), MOD(ROW()-ROW(F$2)+F$1, COUNTA(Working!$A$2:INDEX(Working!$A:$A, MATCH("zzz", Working!$A:$A)))) + 1))</f>
        <v>gb</v>
      </c>
      <c r="G13" t="str" cm="1">
        <f t="array" ref="G13">IF(Working!$A13="","",INDEX(Working!$A$2:INDEX(Working!$A:$A, MATCH("zzz", Working!$A:$A)), MOD(ROW()-ROW(G$2)+G$1, COUNTA(Working!$A$2:INDEX(Working!$A:$A, MATCH("zzz", Working!$A:$A)))) + 1))</f>
        <v>gbc</v>
      </c>
      <c r="H13" t="str" cm="1">
        <f t="array" ref="H13">IF(Working!$A13="","",INDEX(Working!$A$2:INDEX(Working!$A:$A, MATCH("zzz", Working!$A:$A)), MOD(ROW()-ROW(H$2)+H$1, COUNTA(Working!$A$2:INDEX(Working!$A:$A, MATCH("zzz", Working!$A:$A)))) + 1))</f>
        <v>gba</v>
      </c>
      <c r="I13" t="str" cm="1">
        <f t="array" ref="I13">IF(Working!$A13="","",INDEX(Working!$A$2:INDEX(Working!$A:$A, MATCH("zzz", Working!$A:$A)), MOD(ROW()-ROW(I$2)+I$1, COUNTA(Working!$A$2:INDEX(Working!$A:$A, MATCH("zzz", Working!$A:$A)))) + 1))</f>
        <v>nds</v>
      </c>
      <c r="J13" t="str" cm="1">
        <f t="array" ref="J13">IF(Working!$A13="","",INDEX(Working!$A$2:INDEX(Working!$A:$A, MATCH("zzz", Working!$A:$A)), MOD(ROW()-ROW(J$2)+J$1, COUNTA(Working!$A$2:INDEX(Working!$A:$A, MATCH("zzz", Working!$A:$A)))) + 1))</f>
        <v>n3ds</v>
      </c>
      <c r="K13" t="str" cm="1">
        <f t="array" ref="K13">IF(Working!$A13="","",INDEX(Working!$A$2:INDEX(Working!$A:$A, MATCH("zzz", Working!$A:$A)), MOD(ROW()-ROW(K$2)+K$1, COUNTA(Working!$A$2:INDEX(Working!$A:$A, MATCH("zzz", Working!$A:$A)))) + 1))</f>
        <v>mastersystem</v>
      </c>
      <c r="L13" t="str" cm="1">
        <f t="array" ref="L13">IF(Working!$A13="","",INDEX(Working!$A$2:INDEX(Working!$A:$A, MATCH("zzz", Working!$A:$A)), MOD(ROW()-ROW(L$2)+L$1, COUNTA(Working!$A$2:INDEX(Working!$A:$A, MATCH("zzz", Working!$A:$A)))) + 1))</f>
        <v>genesis</v>
      </c>
      <c r="Z13" t="str">
        <v>switch</v>
      </c>
    </row>
    <row r="14" spans="1:28" ht="15.75" customHeight="1" x14ac:dyDescent="0.2">
      <c r="A14" t="str">
        <v>gb</v>
      </c>
      <c r="B14" t="str">
        <v>012</v>
      </c>
      <c r="C14" t="str" cm="1">
        <f t="array" ref="C14">IF(Working!$A14="","",INDEX(Working!$A$2:INDEX(Working!$A:$A, MATCH("zzz", Working!$A:$A)), MOD(ROW()-ROW(C$2)+C$1, COUNTA(Working!$A$2:INDEX(Working!$A:$A, MATCH("zzz", Working!$A:$A)))) + 1))</f>
        <v>wiiu</v>
      </c>
      <c r="D14" t="str" cm="1">
        <f t="array" ref="D14">IF(Working!$A14="","",INDEX(Working!$A$2:INDEX(Working!$A:$A, MATCH("zzz", Working!$A:$A)), MOD(ROW()-ROW(D$2)+D$1, COUNTA(Working!$A$2:INDEX(Working!$A:$A, MATCH("zzz", Working!$A:$A)))) + 1))</f>
        <v>switch</v>
      </c>
      <c r="E14" t="str" cm="1">
        <f t="array" ref="E14">IF(Working!$A14="","",INDEX(Working!$A$2:INDEX(Working!$A:$A, MATCH("zzz", Working!$A:$A)), MOD(ROW()-ROW(E$2)+E$1, COUNTA(Working!$A$2:INDEX(Working!$A:$A, MATCH("zzz", Working!$A:$A)))) + 1))</f>
        <v>gb</v>
      </c>
      <c r="F14" t="str" cm="1">
        <f t="array" ref="F14">IF(Working!$A14="","",INDEX(Working!$A$2:INDEX(Working!$A:$A, MATCH("zzz", Working!$A:$A)), MOD(ROW()-ROW(F$2)+F$1, COUNTA(Working!$A$2:INDEX(Working!$A:$A, MATCH("zzz", Working!$A:$A)))) + 1))</f>
        <v>gbc</v>
      </c>
      <c r="G14" t="str" cm="1">
        <f t="array" ref="G14">IF(Working!$A14="","",INDEX(Working!$A$2:INDEX(Working!$A:$A, MATCH("zzz", Working!$A:$A)), MOD(ROW()-ROW(G$2)+G$1, COUNTA(Working!$A$2:INDEX(Working!$A:$A, MATCH("zzz", Working!$A:$A)))) + 1))</f>
        <v>gba</v>
      </c>
      <c r="H14" t="str" cm="1">
        <f t="array" ref="H14">IF(Working!$A14="","",INDEX(Working!$A$2:INDEX(Working!$A:$A, MATCH("zzz", Working!$A:$A)), MOD(ROW()-ROW(H$2)+H$1, COUNTA(Working!$A$2:INDEX(Working!$A:$A, MATCH("zzz", Working!$A:$A)))) + 1))</f>
        <v>nds</v>
      </c>
      <c r="I14" t="str" cm="1">
        <f t="array" ref="I14">IF(Working!$A14="","",INDEX(Working!$A$2:INDEX(Working!$A:$A, MATCH("zzz", Working!$A:$A)), MOD(ROW()-ROW(I$2)+I$1, COUNTA(Working!$A$2:INDEX(Working!$A:$A, MATCH("zzz", Working!$A:$A)))) + 1))</f>
        <v>n3ds</v>
      </c>
      <c r="J14" t="str" cm="1">
        <f t="array" ref="J14">IF(Working!$A14="","",INDEX(Working!$A$2:INDEX(Working!$A:$A, MATCH("zzz", Working!$A:$A)), MOD(ROW()-ROW(J$2)+J$1, COUNTA(Working!$A$2:INDEX(Working!$A:$A, MATCH("zzz", Working!$A:$A)))) + 1))</f>
        <v>mastersystem</v>
      </c>
      <c r="K14" t="str" cm="1">
        <f t="array" ref="K14">IF(Working!$A14="","",INDEX(Working!$A$2:INDEX(Working!$A:$A, MATCH("zzz", Working!$A:$A)), MOD(ROW()-ROW(K$2)+K$1, COUNTA(Working!$A$2:INDEX(Working!$A:$A, MATCH("zzz", Working!$A:$A)))) + 1))</f>
        <v>genesis</v>
      </c>
      <c r="L14" t="str" cm="1">
        <f t="array" ref="L14">IF(Working!$A14="","",INDEX(Working!$A$2:INDEX(Working!$A:$A, MATCH("zzz", Working!$A:$A)), MOD(ROW()-ROW(L$2)+L$1, COUNTA(Working!$A$2:INDEX(Working!$A:$A, MATCH("zzz", Working!$A:$A)))) + 1))</f>
        <v>segacd</v>
      </c>
      <c r="Z14" t="str">
        <v>gb</v>
      </c>
    </row>
    <row r="15" spans="1:28" ht="15.75" customHeight="1" x14ac:dyDescent="0.2">
      <c r="A15" t="str">
        <v>gbc</v>
      </c>
      <c r="B15" t="str">
        <v>013</v>
      </c>
      <c r="C15" t="str" cm="1">
        <f t="array" ref="C15">IF(Working!$A15="","",INDEX(Working!$A$2:INDEX(Working!$A:$A, MATCH("zzz", Working!$A:$A)), MOD(ROW()-ROW(C$2)+C$1, COUNTA(Working!$A$2:INDEX(Working!$A:$A, MATCH("zzz", Working!$A:$A)))) + 1))</f>
        <v>switch</v>
      </c>
      <c r="D15" t="str" cm="1">
        <f t="array" ref="D15">IF(Working!$A15="","",INDEX(Working!$A$2:INDEX(Working!$A:$A, MATCH("zzz", Working!$A:$A)), MOD(ROW()-ROW(D$2)+D$1, COUNTA(Working!$A$2:INDEX(Working!$A:$A, MATCH("zzz", Working!$A:$A)))) + 1))</f>
        <v>gb</v>
      </c>
      <c r="E15" t="str" cm="1">
        <f t="array" ref="E15">IF(Working!$A15="","",INDEX(Working!$A$2:INDEX(Working!$A:$A, MATCH("zzz", Working!$A:$A)), MOD(ROW()-ROW(E$2)+E$1, COUNTA(Working!$A$2:INDEX(Working!$A:$A, MATCH("zzz", Working!$A:$A)))) + 1))</f>
        <v>gbc</v>
      </c>
      <c r="F15" t="str" cm="1">
        <f t="array" ref="F15">IF(Working!$A15="","",INDEX(Working!$A$2:INDEX(Working!$A:$A, MATCH("zzz", Working!$A:$A)), MOD(ROW()-ROW(F$2)+F$1, COUNTA(Working!$A$2:INDEX(Working!$A:$A, MATCH("zzz", Working!$A:$A)))) + 1))</f>
        <v>gba</v>
      </c>
      <c r="G15" t="str" cm="1">
        <f t="array" ref="G15">IF(Working!$A15="","",INDEX(Working!$A$2:INDEX(Working!$A:$A, MATCH("zzz", Working!$A:$A)), MOD(ROW()-ROW(G$2)+G$1, COUNTA(Working!$A$2:INDEX(Working!$A:$A, MATCH("zzz", Working!$A:$A)))) + 1))</f>
        <v>nds</v>
      </c>
      <c r="H15" t="str" cm="1">
        <f t="array" ref="H15">IF(Working!$A15="","",INDEX(Working!$A$2:INDEX(Working!$A:$A, MATCH("zzz", Working!$A:$A)), MOD(ROW()-ROW(H$2)+H$1, COUNTA(Working!$A$2:INDEX(Working!$A:$A, MATCH("zzz", Working!$A:$A)))) + 1))</f>
        <v>n3ds</v>
      </c>
      <c r="I15" t="str" cm="1">
        <f t="array" ref="I15">IF(Working!$A15="","",INDEX(Working!$A$2:INDEX(Working!$A:$A, MATCH("zzz", Working!$A:$A)), MOD(ROW()-ROW(I$2)+I$1, COUNTA(Working!$A$2:INDEX(Working!$A:$A, MATCH("zzz", Working!$A:$A)))) + 1))</f>
        <v>mastersystem</v>
      </c>
      <c r="J15" t="str" cm="1">
        <f t="array" ref="J15">IF(Working!$A15="","",INDEX(Working!$A$2:INDEX(Working!$A:$A, MATCH("zzz", Working!$A:$A)), MOD(ROW()-ROW(J$2)+J$1, COUNTA(Working!$A$2:INDEX(Working!$A:$A, MATCH("zzz", Working!$A:$A)))) + 1))</f>
        <v>genesis</v>
      </c>
      <c r="K15" t="str" cm="1">
        <f t="array" ref="K15">IF(Working!$A15="","",INDEX(Working!$A$2:INDEX(Working!$A:$A, MATCH("zzz", Working!$A:$A)), MOD(ROW()-ROW(K$2)+K$1, COUNTA(Working!$A$2:INDEX(Working!$A:$A, MATCH("zzz", Working!$A:$A)))) + 1))</f>
        <v>segacd</v>
      </c>
      <c r="L15" t="str" cm="1">
        <f t="array" ref="L15">IF(Working!$A15="","",INDEX(Working!$A$2:INDEX(Working!$A:$A, MATCH("zzz", Working!$A:$A)), MOD(ROW()-ROW(L$2)+L$1, COUNTA(Working!$A$2:INDEX(Working!$A:$A, MATCH("zzz", Working!$A:$A)))) + 1))</f>
        <v>saturn</v>
      </c>
      <c r="Z15" t="str">
        <v>gbc</v>
      </c>
    </row>
    <row r="16" spans="1:28" ht="15.75" customHeight="1" x14ac:dyDescent="0.2">
      <c r="A16" t="str">
        <v>gba</v>
      </c>
      <c r="B16" t="str">
        <v>014</v>
      </c>
      <c r="C16" t="str" cm="1">
        <f t="array" ref="C16">IF(Working!$A16="","",INDEX(Working!$A$2:INDEX(Working!$A:$A, MATCH("zzz", Working!$A:$A)), MOD(ROW()-ROW(C$2)+C$1, COUNTA(Working!$A$2:INDEX(Working!$A:$A, MATCH("zzz", Working!$A:$A)))) + 1))</f>
        <v>gb</v>
      </c>
      <c r="D16" t="str" cm="1">
        <f t="array" ref="D16">IF(Working!$A16="","",INDEX(Working!$A$2:INDEX(Working!$A:$A, MATCH("zzz", Working!$A:$A)), MOD(ROW()-ROW(D$2)+D$1, COUNTA(Working!$A$2:INDEX(Working!$A:$A, MATCH("zzz", Working!$A:$A)))) + 1))</f>
        <v>gbc</v>
      </c>
      <c r="E16" t="str" cm="1">
        <f t="array" ref="E16">IF(Working!$A16="","",INDEX(Working!$A$2:INDEX(Working!$A:$A, MATCH("zzz", Working!$A:$A)), MOD(ROW()-ROW(E$2)+E$1, COUNTA(Working!$A$2:INDEX(Working!$A:$A, MATCH("zzz", Working!$A:$A)))) + 1))</f>
        <v>gba</v>
      </c>
      <c r="F16" t="str" cm="1">
        <f t="array" ref="F16">IF(Working!$A16="","",INDEX(Working!$A$2:INDEX(Working!$A:$A, MATCH("zzz", Working!$A:$A)), MOD(ROW()-ROW(F$2)+F$1, COUNTA(Working!$A$2:INDEX(Working!$A:$A, MATCH("zzz", Working!$A:$A)))) + 1))</f>
        <v>nds</v>
      </c>
      <c r="G16" t="str" cm="1">
        <f t="array" ref="G16">IF(Working!$A16="","",INDEX(Working!$A$2:INDEX(Working!$A:$A, MATCH("zzz", Working!$A:$A)), MOD(ROW()-ROW(G$2)+G$1, COUNTA(Working!$A$2:INDEX(Working!$A:$A, MATCH("zzz", Working!$A:$A)))) + 1))</f>
        <v>n3ds</v>
      </c>
      <c r="H16" t="str" cm="1">
        <f t="array" ref="H16">IF(Working!$A16="","",INDEX(Working!$A$2:INDEX(Working!$A:$A, MATCH("zzz", Working!$A:$A)), MOD(ROW()-ROW(H$2)+H$1, COUNTA(Working!$A$2:INDEX(Working!$A:$A, MATCH("zzz", Working!$A:$A)))) + 1))</f>
        <v>mastersystem</v>
      </c>
      <c r="I16" t="str" cm="1">
        <f t="array" ref="I16">IF(Working!$A16="","",INDEX(Working!$A$2:INDEX(Working!$A:$A, MATCH("zzz", Working!$A:$A)), MOD(ROW()-ROW(I$2)+I$1, COUNTA(Working!$A$2:INDEX(Working!$A:$A, MATCH("zzz", Working!$A:$A)))) + 1))</f>
        <v>genesis</v>
      </c>
      <c r="J16" t="str" cm="1">
        <f t="array" ref="J16">IF(Working!$A16="","",INDEX(Working!$A$2:INDEX(Working!$A:$A, MATCH("zzz", Working!$A:$A)), MOD(ROW()-ROW(J$2)+J$1, COUNTA(Working!$A$2:INDEX(Working!$A:$A, MATCH("zzz", Working!$A:$A)))) + 1))</f>
        <v>segacd</v>
      </c>
      <c r="K16" t="str" cm="1">
        <f t="array" ref="K16">IF(Working!$A16="","",INDEX(Working!$A$2:INDEX(Working!$A:$A, MATCH("zzz", Working!$A:$A)), MOD(ROW()-ROW(K$2)+K$1, COUNTA(Working!$A$2:INDEX(Working!$A:$A, MATCH("zzz", Working!$A:$A)))) + 1))</f>
        <v>saturn</v>
      </c>
      <c r="L16" t="str" cm="1">
        <f t="array" ref="L16">IF(Working!$A16="","",INDEX(Working!$A$2:INDEX(Working!$A:$A, MATCH("zzz", Working!$A:$A)), MOD(ROW()-ROW(L$2)+L$1, COUNTA(Working!$A$2:INDEX(Working!$A:$A, MATCH("zzz", Working!$A:$A)))) + 1))</f>
        <v>dreamcast</v>
      </c>
      <c r="Z16" t="str">
        <v>gba</v>
      </c>
    </row>
    <row r="17" spans="1:26" ht="15.75" customHeight="1" x14ac:dyDescent="0.2">
      <c r="A17" t="str">
        <v>nds</v>
      </c>
      <c r="B17" t="str">
        <v>015</v>
      </c>
      <c r="C17" t="str" cm="1">
        <f t="array" ref="C17">IF(Working!$A17="","",INDEX(Working!$A$2:INDEX(Working!$A:$A, MATCH("zzz", Working!$A:$A)), MOD(ROW()-ROW(C$2)+C$1, COUNTA(Working!$A$2:INDEX(Working!$A:$A, MATCH("zzz", Working!$A:$A)))) + 1))</f>
        <v>gbc</v>
      </c>
      <c r="D17" t="str" cm="1">
        <f t="array" ref="D17">IF(Working!$A17="","",INDEX(Working!$A$2:INDEX(Working!$A:$A, MATCH("zzz", Working!$A:$A)), MOD(ROW()-ROW(D$2)+D$1, COUNTA(Working!$A$2:INDEX(Working!$A:$A, MATCH("zzz", Working!$A:$A)))) + 1))</f>
        <v>gba</v>
      </c>
      <c r="E17" t="str" cm="1">
        <f t="array" ref="E17">IF(Working!$A17="","",INDEX(Working!$A$2:INDEX(Working!$A:$A, MATCH("zzz", Working!$A:$A)), MOD(ROW()-ROW(E$2)+E$1, COUNTA(Working!$A$2:INDEX(Working!$A:$A, MATCH("zzz", Working!$A:$A)))) + 1))</f>
        <v>nds</v>
      </c>
      <c r="F17" t="str" cm="1">
        <f t="array" ref="F17">IF(Working!$A17="","",INDEX(Working!$A$2:INDEX(Working!$A:$A, MATCH("zzz", Working!$A:$A)), MOD(ROW()-ROW(F$2)+F$1, COUNTA(Working!$A$2:INDEX(Working!$A:$A, MATCH("zzz", Working!$A:$A)))) + 1))</f>
        <v>n3ds</v>
      </c>
      <c r="G17" t="str" cm="1">
        <f t="array" ref="G17">IF(Working!$A17="","",INDEX(Working!$A$2:INDEX(Working!$A:$A, MATCH("zzz", Working!$A:$A)), MOD(ROW()-ROW(G$2)+G$1, COUNTA(Working!$A$2:INDEX(Working!$A:$A, MATCH("zzz", Working!$A:$A)))) + 1))</f>
        <v>mastersystem</v>
      </c>
      <c r="H17" t="str" cm="1">
        <f t="array" ref="H17">IF(Working!$A17="","",INDEX(Working!$A$2:INDEX(Working!$A:$A, MATCH("zzz", Working!$A:$A)), MOD(ROW()-ROW(H$2)+H$1, COUNTA(Working!$A$2:INDEX(Working!$A:$A, MATCH("zzz", Working!$A:$A)))) + 1))</f>
        <v>genesis</v>
      </c>
      <c r="I17" t="str" cm="1">
        <f t="array" ref="I17">IF(Working!$A17="","",INDEX(Working!$A$2:INDEX(Working!$A:$A, MATCH("zzz", Working!$A:$A)), MOD(ROW()-ROW(I$2)+I$1, COUNTA(Working!$A$2:INDEX(Working!$A:$A, MATCH("zzz", Working!$A:$A)))) + 1))</f>
        <v>segacd</v>
      </c>
      <c r="J17" t="str" cm="1">
        <f t="array" ref="J17">IF(Working!$A17="","",INDEX(Working!$A$2:INDEX(Working!$A:$A, MATCH("zzz", Working!$A:$A)), MOD(ROW()-ROW(J$2)+J$1, COUNTA(Working!$A$2:INDEX(Working!$A:$A, MATCH("zzz", Working!$A:$A)))) + 1))</f>
        <v>saturn</v>
      </c>
      <c r="K17" t="str" cm="1">
        <f t="array" ref="K17">IF(Working!$A17="","",INDEX(Working!$A$2:INDEX(Working!$A:$A, MATCH("zzz", Working!$A:$A)), MOD(ROW()-ROW(K$2)+K$1, COUNTA(Working!$A$2:INDEX(Working!$A:$A, MATCH("zzz", Working!$A:$A)))) + 1))</f>
        <v>dreamcast</v>
      </c>
      <c r="L17" t="str" cm="1">
        <f t="array" ref="L17">IF(Working!$A17="","",INDEX(Working!$A$2:INDEX(Working!$A:$A, MATCH("zzz", Working!$A:$A)), MOD(ROW()-ROW(L$2)+L$1, COUNTA(Working!$A$2:INDEX(Working!$A:$A, MATCH("zzz", Working!$A:$A)))) + 1))</f>
        <v>gamegear</v>
      </c>
      <c r="Z17" t="str">
        <v>nds</v>
      </c>
    </row>
    <row r="18" spans="1:26" ht="15.75" customHeight="1" x14ac:dyDescent="0.2">
      <c r="A18" t="str">
        <v>n3ds</v>
      </c>
      <c r="B18" t="str">
        <v>016</v>
      </c>
      <c r="C18" t="str" cm="1">
        <f t="array" ref="C18">IF(Working!$A18="","",INDEX(Working!$A$2:INDEX(Working!$A:$A, MATCH("zzz", Working!$A:$A)), MOD(ROW()-ROW(C$2)+C$1, COUNTA(Working!$A$2:INDEX(Working!$A:$A, MATCH("zzz", Working!$A:$A)))) + 1))</f>
        <v>gba</v>
      </c>
      <c r="D18" t="str" cm="1">
        <f t="array" ref="D18">IF(Working!$A18="","",INDEX(Working!$A$2:INDEX(Working!$A:$A, MATCH("zzz", Working!$A:$A)), MOD(ROW()-ROW(D$2)+D$1, COUNTA(Working!$A$2:INDEX(Working!$A:$A, MATCH("zzz", Working!$A:$A)))) + 1))</f>
        <v>nds</v>
      </c>
      <c r="E18" t="str" cm="1">
        <f t="array" ref="E18">IF(Working!$A18="","",INDEX(Working!$A$2:INDEX(Working!$A:$A, MATCH("zzz", Working!$A:$A)), MOD(ROW()-ROW(E$2)+E$1, COUNTA(Working!$A$2:INDEX(Working!$A:$A, MATCH("zzz", Working!$A:$A)))) + 1))</f>
        <v>n3ds</v>
      </c>
      <c r="F18" t="str" cm="1">
        <f t="array" ref="F18">IF(Working!$A18="","",INDEX(Working!$A$2:INDEX(Working!$A:$A, MATCH("zzz", Working!$A:$A)), MOD(ROW()-ROW(F$2)+F$1, COUNTA(Working!$A$2:INDEX(Working!$A:$A, MATCH("zzz", Working!$A:$A)))) + 1))</f>
        <v>mastersystem</v>
      </c>
      <c r="G18" t="str" cm="1">
        <f t="array" ref="G18">IF(Working!$A18="","",INDEX(Working!$A$2:INDEX(Working!$A:$A, MATCH("zzz", Working!$A:$A)), MOD(ROW()-ROW(G$2)+G$1, COUNTA(Working!$A$2:INDEX(Working!$A:$A, MATCH("zzz", Working!$A:$A)))) + 1))</f>
        <v>genesis</v>
      </c>
      <c r="H18" t="str" cm="1">
        <f t="array" ref="H18">IF(Working!$A18="","",INDEX(Working!$A$2:INDEX(Working!$A:$A, MATCH("zzz", Working!$A:$A)), MOD(ROW()-ROW(H$2)+H$1, COUNTA(Working!$A$2:INDEX(Working!$A:$A, MATCH("zzz", Working!$A:$A)))) + 1))</f>
        <v>segacd</v>
      </c>
      <c r="I18" t="str" cm="1">
        <f t="array" ref="I18">IF(Working!$A18="","",INDEX(Working!$A$2:INDEX(Working!$A:$A, MATCH("zzz", Working!$A:$A)), MOD(ROW()-ROW(I$2)+I$1, COUNTA(Working!$A$2:INDEX(Working!$A:$A, MATCH("zzz", Working!$A:$A)))) + 1))</f>
        <v>saturn</v>
      </c>
      <c r="J18" t="str" cm="1">
        <f t="array" ref="J18">IF(Working!$A18="","",INDEX(Working!$A$2:INDEX(Working!$A:$A, MATCH("zzz", Working!$A:$A)), MOD(ROW()-ROW(J$2)+J$1, COUNTA(Working!$A$2:INDEX(Working!$A:$A, MATCH("zzz", Working!$A:$A)))) + 1))</f>
        <v>dreamcast</v>
      </c>
      <c r="K18" t="str" cm="1">
        <f t="array" ref="K18">IF(Working!$A18="","",INDEX(Working!$A$2:INDEX(Working!$A:$A, MATCH("zzz", Working!$A:$A)), MOD(ROW()-ROW(K$2)+K$1, COUNTA(Working!$A$2:INDEX(Working!$A:$A, MATCH("zzz", Working!$A:$A)))) + 1))</f>
        <v>gamegear</v>
      </c>
      <c r="L18" t="str" cm="1">
        <f t="array" ref="L18">IF(Working!$A18="","",INDEX(Working!$A$2:INDEX(Working!$A:$A, MATCH("zzz", Working!$A:$A)), MOD(ROW()-ROW(L$2)+L$1, COUNTA(Working!$A$2:INDEX(Working!$A:$A, MATCH("zzz", Working!$A:$A)))) + 1))</f>
        <v>neogeo</v>
      </c>
      <c r="Z18" t="str">
        <v>n3ds</v>
      </c>
    </row>
    <row r="19" spans="1:26" ht="15.75" customHeight="1" x14ac:dyDescent="0.2">
      <c r="A19" t="str">
        <v>mastersystem</v>
      </c>
      <c r="B19" t="str">
        <v>017</v>
      </c>
      <c r="C19" t="str" cm="1">
        <f t="array" ref="C19">IF(Working!$A19="","",INDEX(Working!$A$2:INDEX(Working!$A:$A, MATCH("zzz", Working!$A:$A)), MOD(ROW()-ROW(C$2)+C$1, COUNTA(Working!$A$2:INDEX(Working!$A:$A, MATCH("zzz", Working!$A:$A)))) + 1))</f>
        <v>nds</v>
      </c>
      <c r="D19" t="str" cm="1">
        <f t="array" ref="D19">IF(Working!$A19="","",INDEX(Working!$A$2:INDEX(Working!$A:$A, MATCH("zzz", Working!$A:$A)), MOD(ROW()-ROW(D$2)+D$1, COUNTA(Working!$A$2:INDEX(Working!$A:$A, MATCH("zzz", Working!$A:$A)))) + 1))</f>
        <v>n3ds</v>
      </c>
      <c r="E19" t="str" cm="1">
        <f t="array" ref="E19">IF(Working!$A19="","",INDEX(Working!$A$2:INDEX(Working!$A:$A, MATCH("zzz", Working!$A:$A)), MOD(ROW()-ROW(E$2)+E$1, COUNTA(Working!$A$2:INDEX(Working!$A:$A, MATCH("zzz", Working!$A:$A)))) + 1))</f>
        <v>mastersystem</v>
      </c>
      <c r="F19" t="str" cm="1">
        <f t="array" ref="F19">IF(Working!$A19="","",INDEX(Working!$A$2:INDEX(Working!$A:$A, MATCH("zzz", Working!$A:$A)), MOD(ROW()-ROW(F$2)+F$1, COUNTA(Working!$A$2:INDEX(Working!$A:$A, MATCH("zzz", Working!$A:$A)))) + 1))</f>
        <v>genesis</v>
      </c>
      <c r="G19" t="str" cm="1">
        <f t="array" ref="G19">IF(Working!$A19="","",INDEX(Working!$A$2:INDEX(Working!$A:$A, MATCH("zzz", Working!$A:$A)), MOD(ROW()-ROW(G$2)+G$1, COUNTA(Working!$A$2:INDEX(Working!$A:$A, MATCH("zzz", Working!$A:$A)))) + 1))</f>
        <v>segacd</v>
      </c>
      <c r="H19" t="str" cm="1">
        <f t="array" ref="H19">IF(Working!$A19="","",INDEX(Working!$A$2:INDEX(Working!$A:$A, MATCH("zzz", Working!$A:$A)), MOD(ROW()-ROW(H$2)+H$1, COUNTA(Working!$A$2:INDEX(Working!$A:$A, MATCH("zzz", Working!$A:$A)))) + 1))</f>
        <v>saturn</v>
      </c>
      <c r="I19" t="str" cm="1">
        <f t="array" ref="I19">IF(Working!$A19="","",INDEX(Working!$A$2:INDEX(Working!$A:$A, MATCH("zzz", Working!$A:$A)), MOD(ROW()-ROW(I$2)+I$1, COUNTA(Working!$A$2:INDEX(Working!$A:$A, MATCH("zzz", Working!$A:$A)))) + 1))</f>
        <v>dreamcast</v>
      </c>
      <c r="J19" t="str" cm="1">
        <f t="array" ref="J19">IF(Working!$A19="","",INDEX(Working!$A$2:INDEX(Working!$A:$A, MATCH("zzz", Working!$A:$A)), MOD(ROW()-ROW(J$2)+J$1, COUNTA(Working!$A$2:INDEX(Working!$A:$A, MATCH("zzz", Working!$A:$A)))) + 1))</f>
        <v>gamegear</v>
      </c>
      <c r="K19" t="str" cm="1">
        <f t="array" ref="K19">IF(Working!$A19="","",INDEX(Working!$A$2:INDEX(Working!$A:$A, MATCH("zzz", Working!$A:$A)), MOD(ROW()-ROW(K$2)+K$1, COUNTA(Working!$A$2:INDEX(Working!$A:$A, MATCH("zzz", Working!$A:$A)))) + 1))</f>
        <v>neogeo</v>
      </c>
      <c r="L19" t="str" cm="1">
        <f t="array" ref="L19">IF(Working!$A19="","",INDEX(Working!$A$2:INDEX(Working!$A:$A, MATCH("zzz", Working!$A:$A)), MOD(ROW()-ROW(L$2)+L$1, COUNTA(Working!$A$2:INDEX(Working!$A:$A, MATCH("zzz", Working!$A:$A)))) + 1))</f>
        <v>psx</v>
      </c>
      <c r="Z19" t="str">
        <v>mastersystem</v>
      </c>
    </row>
    <row r="20" spans="1:26" ht="15.75" customHeight="1" x14ac:dyDescent="0.2">
      <c r="A20" t="str">
        <v>genesis</v>
      </c>
      <c r="B20" t="str">
        <v>018</v>
      </c>
      <c r="C20" t="str" cm="1">
        <f t="array" ref="C20">IF(Working!$A20="","",INDEX(Working!$A$2:INDEX(Working!$A:$A, MATCH("zzz", Working!$A:$A)), MOD(ROW()-ROW(C$2)+C$1, COUNTA(Working!$A$2:INDEX(Working!$A:$A, MATCH("zzz", Working!$A:$A)))) + 1))</f>
        <v>n3ds</v>
      </c>
      <c r="D20" t="str" cm="1">
        <f t="array" ref="D20">IF(Working!$A20="","",INDEX(Working!$A$2:INDEX(Working!$A:$A, MATCH("zzz", Working!$A:$A)), MOD(ROW()-ROW(D$2)+D$1, COUNTA(Working!$A$2:INDEX(Working!$A:$A, MATCH("zzz", Working!$A:$A)))) + 1))</f>
        <v>mastersystem</v>
      </c>
      <c r="E20" t="str" cm="1">
        <f t="array" ref="E20">IF(Working!$A20="","",INDEX(Working!$A$2:INDEX(Working!$A:$A, MATCH("zzz", Working!$A:$A)), MOD(ROW()-ROW(E$2)+E$1, COUNTA(Working!$A$2:INDEX(Working!$A:$A, MATCH("zzz", Working!$A:$A)))) + 1))</f>
        <v>genesis</v>
      </c>
      <c r="F20" t="str" cm="1">
        <f t="array" ref="F20">IF(Working!$A20="","",INDEX(Working!$A$2:INDEX(Working!$A:$A, MATCH("zzz", Working!$A:$A)), MOD(ROW()-ROW(F$2)+F$1, COUNTA(Working!$A$2:INDEX(Working!$A:$A, MATCH("zzz", Working!$A:$A)))) + 1))</f>
        <v>segacd</v>
      </c>
      <c r="G20" t="str" cm="1">
        <f t="array" ref="G20">IF(Working!$A20="","",INDEX(Working!$A$2:INDEX(Working!$A:$A, MATCH("zzz", Working!$A:$A)), MOD(ROW()-ROW(G$2)+G$1, COUNTA(Working!$A$2:INDEX(Working!$A:$A, MATCH("zzz", Working!$A:$A)))) + 1))</f>
        <v>saturn</v>
      </c>
      <c r="H20" t="str" cm="1">
        <f t="array" ref="H20">IF(Working!$A20="","",INDEX(Working!$A$2:INDEX(Working!$A:$A, MATCH("zzz", Working!$A:$A)), MOD(ROW()-ROW(H$2)+H$1, COUNTA(Working!$A$2:INDEX(Working!$A:$A, MATCH("zzz", Working!$A:$A)))) + 1))</f>
        <v>dreamcast</v>
      </c>
      <c r="I20" t="str" cm="1">
        <f t="array" ref="I20">IF(Working!$A20="","",INDEX(Working!$A$2:INDEX(Working!$A:$A, MATCH("zzz", Working!$A:$A)), MOD(ROW()-ROW(I$2)+I$1, COUNTA(Working!$A$2:INDEX(Working!$A:$A, MATCH("zzz", Working!$A:$A)))) + 1))</f>
        <v>gamegear</v>
      </c>
      <c r="J20" t="str" cm="1">
        <f t="array" ref="J20">IF(Working!$A20="","",INDEX(Working!$A$2:INDEX(Working!$A:$A, MATCH("zzz", Working!$A:$A)), MOD(ROW()-ROW(J$2)+J$1, COUNTA(Working!$A$2:INDEX(Working!$A:$A, MATCH("zzz", Working!$A:$A)))) + 1))</f>
        <v>neogeo</v>
      </c>
      <c r="K20" t="str" cm="1">
        <f t="array" ref="K20">IF(Working!$A20="","",INDEX(Working!$A$2:INDEX(Working!$A:$A, MATCH("zzz", Working!$A:$A)), MOD(ROW()-ROW(K$2)+K$1, COUNTA(Working!$A$2:INDEX(Working!$A:$A, MATCH("zzz", Working!$A:$A)))) + 1))</f>
        <v>psx</v>
      </c>
      <c r="L20" t="str" cm="1">
        <f t="array" ref="L20">IF(Working!$A20="","",INDEX(Working!$A$2:INDEX(Working!$A:$A, MATCH("zzz", Working!$A:$A)), MOD(ROW()-ROW(L$2)+L$1, COUNTA(Working!$A$2:INDEX(Working!$A:$A, MATCH("zzz", Working!$A:$A)))) + 1))</f>
        <v>ps2</v>
      </c>
      <c r="Z20" t="str">
        <v>genesis</v>
      </c>
    </row>
    <row r="21" spans="1:26" ht="15.75" customHeight="1" x14ac:dyDescent="0.2">
      <c r="A21" t="str">
        <v>segacd</v>
      </c>
      <c r="B21" t="str">
        <v>019</v>
      </c>
      <c r="C21" t="str" cm="1">
        <f t="array" ref="C21">IF(Working!$A21="","",INDEX(Working!$A$2:INDEX(Working!$A:$A, MATCH("zzz", Working!$A:$A)), MOD(ROW()-ROW(C$2)+C$1, COUNTA(Working!$A$2:INDEX(Working!$A:$A, MATCH("zzz", Working!$A:$A)))) + 1))</f>
        <v>mastersystem</v>
      </c>
      <c r="D21" t="str" cm="1">
        <f t="array" ref="D21">IF(Working!$A21="","",INDEX(Working!$A$2:INDEX(Working!$A:$A, MATCH("zzz", Working!$A:$A)), MOD(ROW()-ROW(D$2)+D$1, COUNTA(Working!$A$2:INDEX(Working!$A:$A, MATCH("zzz", Working!$A:$A)))) + 1))</f>
        <v>genesis</v>
      </c>
      <c r="E21" t="str" cm="1">
        <f t="array" ref="E21">IF(Working!$A21="","",INDEX(Working!$A$2:INDEX(Working!$A:$A, MATCH("zzz", Working!$A:$A)), MOD(ROW()-ROW(E$2)+E$1, COUNTA(Working!$A$2:INDEX(Working!$A:$A, MATCH("zzz", Working!$A:$A)))) + 1))</f>
        <v>segacd</v>
      </c>
      <c r="F21" t="str" cm="1">
        <f t="array" ref="F21">IF(Working!$A21="","",INDEX(Working!$A$2:INDEX(Working!$A:$A, MATCH("zzz", Working!$A:$A)), MOD(ROW()-ROW(F$2)+F$1, COUNTA(Working!$A$2:INDEX(Working!$A:$A, MATCH("zzz", Working!$A:$A)))) + 1))</f>
        <v>saturn</v>
      </c>
      <c r="G21" t="str" cm="1">
        <f t="array" ref="G21">IF(Working!$A21="","",INDEX(Working!$A$2:INDEX(Working!$A:$A, MATCH("zzz", Working!$A:$A)), MOD(ROW()-ROW(G$2)+G$1, COUNTA(Working!$A$2:INDEX(Working!$A:$A, MATCH("zzz", Working!$A:$A)))) + 1))</f>
        <v>dreamcast</v>
      </c>
      <c r="H21" t="str" cm="1">
        <f t="array" ref="H21">IF(Working!$A21="","",INDEX(Working!$A$2:INDEX(Working!$A:$A, MATCH("zzz", Working!$A:$A)), MOD(ROW()-ROW(H$2)+H$1, COUNTA(Working!$A$2:INDEX(Working!$A:$A, MATCH("zzz", Working!$A:$A)))) + 1))</f>
        <v>gamegear</v>
      </c>
      <c r="I21" t="str" cm="1">
        <f t="array" ref="I21">IF(Working!$A21="","",INDEX(Working!$A$2:INDEX(Working!$A:$A, MATCH("zzz", Working!$A:$A)), MOD(ROW()-ROW(I$2)+I$1, COUNTA(Working!$A$2:INDEX(Working!$A:$A, MATCH("zzz", Working!$A:$A)))) + 1))</f>
        <v>neogeo</v>
      </c>
      <c r="J21" t="str" cm="1">
        <f t="array" ref="J21">IF(Working!$A21="","",INDEX(Working!$A$2:INDEX(Working!$A:$A, MATCH("zzz", Working!$A:$A)), MOD(ROW()-ROW(J$2)+J$1, COUNTA(Working!$A$2:INDEX(Working!$A:$A, MATCH("zzz", Working!$A:$A)))) + 1))</f>
        <v>psx</v>
      </c>
      <c r="K21" t="str" cm="1">
        <f t="array" ref="K21">IF(Working!$A21="","",INDEX(Working!$A$2:INDEX(Working!$A:$A, MATCH("zzz", Working!$A:$A)), MOD(ROW()-ROW(K$2)+K$1, COUNTA(Working!$A$2:INDEX(Working!$A:$A, MATCH("zzz", Working!$A:$A)))) + 1))</f>
        <v>ps2</v>
      </c>
      <c r="L21" t="str" cm="1">
        <f t="array" ref="L21">IF(Working!$A21="","",INDEX(Working!$A$2:INDEX(Working!$A:$A, MATCH("zzz", Working!$A:$A)), MOD(ROW()-ROW(L$2)+L$1, COUNTA(Working!$A$2:INDEX(Working!$A:$A, MATCH("zzz", Working!$A:$A)))) + 1))</f>
        <v>ps3</v>
      </c>
      <c r="Z21" t="str">
        <v>segacd</v>
      </c>
    </row>
    <row r="22" spans="1:26" ht="15.75" customHeight="1" x14ac:dyDescent="0.2">
      <c r="A22" t="str">
        <v>saturn</v>
      </c>
      <c r="B22" t="str">
        <v>020</v>
      </c>
      <c r="C22" t="str" cm="1">
        <f t="array" ref="C22">IF(Working!$A22="","",INDEX(Working!$A$2:INDEX(Working!$A:$A, MATCH("zzz", Working!$A:$A)), MOD(ROW()-ROW(C$2)+C$1, COUNTA(Working!$A$2:INDEX(Working!$A:$A, MATCH("zzz", Working!$A:$A)))) + 1))</f>
        <v>genesis</v>
      </c>
      <c r="D22" t="str" cm="1">
        <f t="array" ref="D22">IF(Working!$A22="","",INDEX(Working!$A$2:INDEX(Working!$A:$A, MATCH("zzz", Working!$A:$A)), MOD(ROW()-ROW(D$2)+D$1, COUNTA(Working!$A$2:INDEX(Working!$A:$A, MATCH("zzz", Working!$A:$A)))) + 1))</f>
        <v>segacd</v>
      </c>
      <c r="E22" t="str" cm="1">
        <f t="array" ref="E22">IF(Working!$A22="","",INDEX(Working!$A$2:INDEX(Working!$A:$A, MATCH("zzz", Working!$A:$A)), MOD(ROW()-ROW(E$2)+E$1, COUNTA(Working!$A$2:INDEX(Working!$A:$A, MATCH("zzz", Working!$A:$A)))) + 1))</f>
        <v>saturn</v>
      </c>
      <c r="F22" t="str" cm="1">
        <f t="array" ref="F22">IF(Working!$A22="","",INDEX(Working!$A$2:INDEX(Working!$A:$A, MATCH("zzz", Working!$A:$A)), MOD(ROW()-ROW(F$2)+F$1, COUNTA(Working!$A$2:INDEX(Working!$A:$A, MATCH("zzz", Working!$A:$A)))) + 1))</f>
        <v>dreamcast</v>
      </c>
      <c r="G22" t="str" cm="1">
        <f t="array" ref="G22">IF(Working!$A22="","",INDEX(Working!$A$2:INDEX(Working!$A:$A, MATCH("zzz", Working!$A:$A)), MOD(ROW()-ROW(G$2)+G$1, COUNTA(Working!$A$2:INDEX(Working!$A:$A, MATCH("zzz", Working!$A:$A)))) + 1))</f>
        <v>gamegear</v>
      </c>
      <c r="H22" t="str" cm="1">
        <f t="array" ref="H22">IF(Working!$A22="","",INDEX(Working!$A$2:INDEX(Working!$A:$A, MATCH("zzz", Working!$A:$A)), MOD(ROW()-ROW(H$2)+H$1, COUNTA(Working!$A$2:INDEX(Working!$A:$A, MATCH("zzz", Working!$A:$A)))) + 1))</f>
        <v>neogeo</v>
      </c>
      <c r="I22" t="str" cm="1">
        <f t="array" ref="I22">IF(Working!$A22="","",INDEX(Working!$A$2:INDEX(Working!$A:$A, MATCH("zzz", Working!$A:$A)), MOD(ROW()-ROW(I$2)+I$1, COUNTA(Working!$A$2:INDEX(Working!$A:$A, MATCH("zzz", Working!$A:$A)))) + 1))</f>
        <v>psx</v>
      </c>
      <c r="J22" t="str" cm="1">
        <f t="array" ref="J22">IF(Working!$A22="","",INDEX(Working!$A$2:INDEX(Working!$A:$A, MATCH("zzz", Working!$A:$A)), MOD(ROW()-ROW(J$2)+J$1, COUNTA(Working!$A$2:INDEX(Working!$A:$A, MATCH("zzz", Working!$A:$A)))) + 1))</f>
        <v>ps2</v>
      </c>
      <c r="K22" t="str" cm="1">
        <f t="array" ref="K22">IF(Working!$A22="","",INDEX(Working!$A$2:INDEX(Working!$A:$A, MATCH("zzz", Working!$A:$A)), MOD(ROW()-ROW(K$2)+K$1, COUNTA(Working!$A$2:INDEX(Working!$A:$A, MATCH("zzz", Working!$A:$A)))) + 1))</f>
        <v>ps3</v>
      </c>
      <c r="L22" t="str" cm="1">
        <f t="array" ref="L22">IF(Working!$A22="","",INDEX(Working!$A$2:INDEX(Working!$A:$A, MATCH("zzz", Working!$A:$A)), MOD(ROW()-ROW(L$2)+L$1, COUNTA(Working!$A$2:INDEX(Working!$A:$A, MATCH("zzz", Working!$A:$A)))) + 1))</f>
        <v>psp</v>
      </c>
      <c r="Z22" t="str">
        <v>saturn</v>
      </c>
    </row>
    <row r="23" spans="1:26" ht="15.75" customHeight="1" x14ac:dyDescent="0.2">
      <c r="A23" t="str">
        <v>dreamcast</v>
      </c>
      <c r="B23" t="str">
        <v>021</v>
      </c>
      <c r="C23" t="str" cm="1">
        <f t="array" ref="C23">IF(Working!$A23="","",INDEX(Working!$A$2:INDEX(Working!$A:$A, MATCH("zzz", Working!$A:$A)), MOD(ROW()-ROW(C$2)+C$1, COUNTA(Working!$A$2:INDEX(Working!$A:$A, MATCH("zzz", Working!$A:$A)))) + 1))</f>
        <v>segacd</v>
      </c>
      <c r="D23" t="str" cm="1">
        <f t="array" ref="D23">IF(Working!$A23="","",INDEX(Working!$A$2:INDEX(Working!$A:$A, MATCH("zzz", Working!$A:$A)), MOD(ROW()-ROW(D$2)+D$1, COUNTA(Working!$A$2:INDEX(Working!$A:$A, MATCH("zzz", Working!$A:$A)))) + 1))</f>
        <v>saturn</v>
      </c>
      <c r="E23" t="str" cm="1">
        <f t="array" ref="E23">IF(Working!$A23="","",INDEX(Working!$A$2:INDEX(Working!$A:$A, MATCH("zzz", Working!$A:$A)), MOD(ROW()-ROW(E$2)+E$1, COUNTA(Working!$A$2:INDEX(Working!$A:$A, MATCH("zzz", Working!$A:$A)))) + 1))</f>
        <v>dreamcast</v>
      </c>
      <c r="F23" t="str" cm="1">
        <f t="array" ref="F23">IF(Working!$A23="","",INDEX(Working!$A$2:INDEX(Working!$A:$A, MATCH("zzz", Working!$A:$A)), MOD(ROW()-ROW(F$2)+F$1, COUNTA(Working!$A$2:INDEX(Working!$A:$A, MATCH("zzz", Working!$A:$A)))) + 1))</f>
        <v>gamegear</v>
      </c>
      <c r="G23" t="str" cm="1">
        <f t="array" ref="G23">IF(Working!$A23="","",INDEX(Working!$A$2:INDEX(Working!$A:$A, MATCH("zzz", Working!$A:$A)), MOD(ROW()-ROW(G$2)+G$1, COUNTA(Working!$A$2:INDEX(Working!$A:$A, MATCH("zzz", Working!$A:$A)))) + 1))</f>
        <v>neogeo</v>
      </c>
      <c r="H23" t="str" cm="1">
        <f t="array" ref="H23">IF(Working!$A23="","",INDEX(Working!$A$2:INDEX(Working!$A:$A, MATCH("zzz", Working!$A:$A)), MOD(ROW()-ROW(H$2)+H$1, COUNTA(Working!$A$2:INDEX(Working!$A:$A, MATCH("zzz", Working!$A:$A)))) + 1))</f>
        <v>psx</v>
      </c>
      <c r="I23" t="str" cm="1">
        <f t="array" ref="I23">IF(Working!$A23="","",INDEX(Working!$A$2:INDEX(Working!$A:$A, MATCH("zzz", Working!$A:$A)), MOD(ROW()-ROW(I$2)+I$1, COUNTA(Working!$A$2:INDEX(Working!$A:$A, MATCH("zzz", Working!$A:$A)))) + 1))</f>
        <v>ps2</v>
      </c>
      <c r="J23" t="str" cm="1">
        <f t="array" ref="J23">IF(Working!$A23="","",INDEX(Working!$A$2:INDEX(Working!$A:$A, MATCH("zzz", Working!$A:$A)), MOD(ROW()-ROW(J$2)+J$1, COUNTA(Working!$A$2:INDEX(Working!$A:$A, MATCH("zzz", Working!$A:$A)))) + 1))</f>
        <v>ps3</v>
      </c>
      <c r="K23" t="str" cm="1">
        <f t="array" ref="K23">IF(Working!$A23="","",INDEX(Working!$A$2:INDEX(Working!$A:$A, MATCH("zzz", Working!$A:$A)), MOD(ROW()-ROW(K$2)+K$1, COUNTA(Working!$A$2:INDEX(Working!$A:$A, MATCH("zzz", Working!$A:$A)))) + 1))</f>
        <v>psp</v>
      </c>
      <c r="L23" t="str" cm="1">
        <f t="array" ref="L23">IF(Working!$A23="","",INDEX(Working!$A$2:INDEX(Working!$A:$A, MATCH("zzz", Working!$A:$A)), MOD(ROW()-ROW(L$2)+L$1, COUNTA(Working!$A$2:INDEX(Working!$A:$A, MATCH("zzz", Working!$A:$A)))) + 1))</f>
        <v>psvita</v>
      </c>
      <c r="Z23" t="str">
        <v>dreamcast</v>
      </c>
    </row>
    <row r="24" spans="1:26" ht="15.75" customHeight="1" x14ac:dyDescent="0.2">
      <c r="A24" t="str">
        <v>gamegear</v>
      </c>
      <c r="B24" t="str">
        <v>022</v>
      </c>
      <c r="C24" t="str" cm="1">
        <f t="array" ref="C24">IF(Working!$A24="","",INDEX(Working!$A$2:INDEX(Working!$A:$A, MATCH("zzz", Working!$A:$A)), MOD(ROW()-ROW(C$2)+C$1, COUNTA(Working!$A$2:INDEX(Working!$A:$A, MATCH("zzz", Working!$A:$A)))) + 1))</f>
        <v>saturn</v>
      </c>
      <c r="D24" t="str" cm="1">
        <f t="array" ref="D24">IF(Working!$A24="","",INDEX(Working!$A$2:INDEX(Working!$A:$A, MATCH("zzz", Working!$A:$A)), MOD(ROW()-ROW(D$2)+D$1, COUNTA(Working!$A$2:INDEX(Working!$A:$A, MATCH("zzz", Working!$A:$A)))) + 1))</f>
        <v>dreamcast</v>
      </c>
      <c r="E24" t="str" cm="1">
        <f t="array" ref="E24">IF(Working!$A24="","",INDEX(Working!$A$2:INDEX(Working!$A:$A, MATCH("zzz", Working!$A:$A)), MOD(ROW()-ROW(E$2)+E$1, COUNTA(Working!$A$2:INDEX(Working!$A:$A, MATCH("zzz", Working!$A:$A)))) + 1))</f>
        <v>gamegear</v>
      </c>
      <c r="F24" t="str" cm="1">
        <f t="array" ref="F24">IF(Working!$A24="","",INDEX(Working!$A$2:INDEX(Working!$A:$A, MATCH("zzz", Working!$A:$A)), MOD(ROW()-ROW(F$2)+F$1, COUNTA(Working!$A$2:INDEX(Working!$A:$A, MATCH("zzz", Working!$A:$A)))) + 1))</f>
        <v>neogeo</v>
      </c>
      <c r="G24" t="str" cm="1">
        <f t="array" ref="G24">IF(Working!$A24="","",INDEX(Working!$A$2:INDEX(Working!$A:$A, MATCH("zzz", Working!$A:$A)), MOD(ROW()-ROW(G$2)+G$1, COUNTA(Working!$A$2:INDEX(Working!$A:$A, MATCH("zzz", Working!$A:$A)))) + 1))</f>
        <v>psx</v>
      </c>
      <c r="H24" t="str" cm="1">
        <f t="array" ref="H24">IF(Working!$A24="","",INDEX(Working!$A$2:INDEX(Working!$A:$A, MATCH("zzz", Working!$A:$A)), MOD(ROW()-ROW(H$2)+H$1, COUNTA(Working!$A$2:INDEX(Working!$A:$A, MATCH("zzz", Working!$A:$A)))) + 1))</f>
        <v>ps2</v>
      </c>
      <c r="I24" t="str" cm="1">
        <f t="array" ref="I24">IF(Working!$A24="","",INDEX(Working!$A$2:INDEX(Working!$A:$A, MATCH("zzz", Working!$A:$A)), MOD(ROW()-ROW(I$2)+I$1, COUNTA(Working!$A$2:INDEX(Working!$A:$A, MATCH("zzz", Working!$A:$A)))) + 1))</f>
        <v>ps3</v>
      </c>
      <c r="J24" t="str" cm="1">
        <f t="array" ref="J24">IF(Working!$A24="","",INDEX(Working!$A$2:INDEX(Working!$A:$A, MATCH("zzz", Working!$A:$A)), MOD(ROW()-ROW(J$2)+J$1, COUNTA(Working!$A$2:INDEX(Working!$A:$A, MATCH("zzz", Working!$A:$A)))) + 1))</f>
        <v>psp</v>
      </c>
      <c r="K24" t="str" cm="1">
        <f t="array" ref="K24">IF(Working!$A24="","",INDEX(Working!$A$2:INDEX(Working!$A:$A, MATCH("zzz", Working!$A:$A)), MOD(ROW()-ROW(K$2)+K$1, COUNTA(Working!$A$2:INDEX(Working!$A:$A, MATCH("zzz", Working!$A:$A)))) + 1))</f>
        <v>psvita</v>
      </c>
      <c r="L24" t="str" cm="1">
        <f t="array" ref="L24">IF(Working!$A24="","",INDEX(Working!$A$2:INDEX(Working!$A:$A, MATCH("zzz", Working!$A:$A)), MOD(ROW()-ROW(L$2)+L$1, COUNTA(Working!$A$2:INDEX(Working!$A:$A, MATCH("zzz", Working!$A:$A)))) + 1))</f>
        <v>ports</v>
      </c>
      <c r="Z24" t="str">
        <v>gamegear</v>
      </c>
    </row>
    <row r="25" spans="1:26" ht="15.75" customHeight="1" x14ac:dyDescent="0.2">
      <c r="A25" t="str">
        <v>neogeo</v>
      </c>
      <c r="B25" t="str">
        <v>023</v>
      </c>
      <c r="C25" t="str" cm="1">
        <f t="array" ref="C25">IF(Working!$A25="","",INDEX(Working!$A$2:INDEX(Working!$A:$A, MATCH("zzz", Working!$A:$A)), MOD(ROW()-ROW(C$2)+C$1, COUNTA(Working!$A$2:INDEX(Working!$A:$A, MATCH("zzz", Working!$A:$A)))) + 1))</f>
        <v>dreamcast</v>
      </c>
      <c r="D25" t="str" cm="1">
        <f t="array" ref="D25">IF(Working!$A25="","",INDEX(Working!$A$2:INDEX(Working!$A:$A, MATCH("zzz", Working!$A:$A)), MOD(ROW()-ROW(D$2)+D$1, COUNTA(Working!$A$2:INDEX(Working!$A:$A, MATCH("zzz", Working!$A:$A)))) + 1))</f>
        <v>gamegear</v>
      </c>
      <c r="E25" t="str" cm="1">
        <f t="array" ref="E25">IF(Working!$A25="","",INDEX(Working!$A$2:INDEX(Working!$A:$A, MATCH("zzz", Working!$A:$A)), MOD(ROW()-ROW(E$2)+E$1, COUNTA(Working!$A$2:INDEX(Working!$A:$A, MATCH("zzz", Working!$A:$A)))) + 1))</f>
        <v>neogeo</v>
      </c>
      <c r="F25" t="str" cm="1">
        <f t="array" ref="F25">IF(Working!$A25="","",INDEX(Working!$A$2:INDEX(Working!$A:$A, MATCH("zzz", Working!$A:$A)), MOD(ROW()-ROW(F$2)+F$1, COUNTA(Working!$A$2:INDEX(Working!$A:$A, MATCH("zzz", Working!$A:$A)))) + 1))</f>
        <v>psx</v>
      </c>
      <c r="G25" t="str" cm="1">
        <f t="array" ref="G25">IF(Working!$A25="","",INDEX(Working!$A$2:INDEX(Working!$A:$A, MATCH("zzz", Working!$A:$A)), MOD(ROW()-ROW(G$2)+G$1, COUNTA(Working!$A$2:INDEX(Working!$A:$A, MATCH("zzz", Working!$A:$A)))) + 1))</f>
        <v>ps2</v>
      </c>
      <c r="H25" t="str" cm="1">
        <f t="array" ref="H25">IF(Working!$A25="","",INDEX(Working!$A$2:INDEX(Working!$A:$A, MATCH("zzz", Working!$A:$A)), MOD(ROW()-ROW(H$2)+H$1, COUNTA(Working!$A$2:INDEX(Working!$A:$A, MATCH("zzz", Working!$A:$A)))) + 1))</f>
        <v>ps3</v>
      </c>
      <c r="I25" t="str" cm="1">
        <f t="array" ref="I25">IF(Working!$A25="","",INDEX(Working!$A$2:INDEX(Working!$A:$A, MATCH("zzz", Working!$A:$A)), MOD(ROW()-ROW(I$2)+I$1, COUNTA(Working!$A$2:INDEX(Working!$A:$A, MATCH("zzz", Working!$A:$A)))) + 1))</f>
        <v>psp</v>
      </c>
      <c r="J25" t="str" cm="1">
        <f t="array" ref="J25">IF(Working!$A25="","",INDEX(Working!$A$2:INDEX(Working!$A:$A, MATCH("zzz", Working!$A:$A)), MOD(ROW()-ROW(J$2)+J$1, COUNTA(Working!$A$2:INDEX(Working!$A:$A, MATCH("zzz", Working!$A:$A)))) + 1))</f>
        <v>psvita</v>
      </c>
      <c r="K25" t="str" cm="1">
        <f t="array" ref="K25">IF(Working!$A25="","",INDEX(Working!$A$2:INDEX(Working!$A:$A, MATCH("zzz", Working!$A:$A)), MOD(ROW()-ROW(K$2)+K$1, COUNTA(Working!$A$2:INDEX(Working!$A:$A, MATCH("zzz", Working!$A:$A)))) + 1))</f>
        <v>ports</v>
      </c>
      <c r="L25" t="str" cm="1">
        <f t="array" ref="L25">IF(Working!$A25="","",INDEX(Working!$A$2:INDEX(Working!$A:$A, MATCH("zzz", Working!$A:$A)), MOD(ROW()-ROW(L$2)+L$1, COUNTA(Working!$A$2:INDEX(Working!$A:$A, MATCH("zzz", Working!$A:$A)))) + 1))</f>
        <v>vircon32</v>
      </c>
      <c r="Z25" t="str">
        <v>neogeo</v>
      </c>
    </row>
    <row r="26" spans="1:26" ht="15.75" customHeight="1" x14ac:dyDescent="0.2">
      <c r="A26" t="str">
        <v>psx</v>
      </c>
      <c r="B26" t="str">
        <v>024</v>
      </c>
      <c r="C26" t="str" cm="1">
        <f t="array" ref="C26">IF(Working!$A26="","",INDEX(Working!$A$2:INDEX(Working!$A:$A, MATCH("zzz", Working!$A:$A)), MOD(ROW()-ROW(C$2)+C$1, COUNTA(Working!$A$2:INDEX(Working!$A:$A, MATCH("zzz", Working!$A:$A)))) + 1))</f>
        <v>gamegear</v>
      </c>
      <c r="D26" t="str" cm="1">
        <f t="array" ref="D26">IF(Working!$A26="","",INDEX(Working!$A$2:INDEX(Working!$A:$A, MATCH("zzz", Working!$A:$A)), MOD(ROW()-ROW(D$2)+D$1, COUNTA(Working!$A$2:INDEX(Working!$A:$A, MATCH("zzz", Working!$A:$A)))) + 1))</f>
        <v>neogeo</v>
      </c>
      <c r="E26" t="str" cm="1">
        <f t="array" ref="E26">IF(Working!$A26="","",INDEX(Working!$A$2:INDEX(Working!$A:$A, MATCH("zzz", Working!$A:$A)), MOD(ROW()-ROW(E$2)+E$1, COUNTA(Working!$A$2:INDEX(Working!$A:$A, MATCH("zzz", Working!$A:$A)))) + 1))</f>
        <v>psx</v>
      </c>
      <c r="F26" t="str" cm="1">
        <f t="array" ref="F26">IF(Working!$A26="","",INDEX(Working!$A$2:INDEX(Working!$A:$A, MATCH("zzz", Working!$A:$A)), MOD(ROW()-ROW(F$2)+F$1, COUNTA(Working!$A$2:INDEX(Working!$A:$A, MATCH("zzz", Working!$A:$A)))) + 1))</f>
        <v>ps2</v>
      </c>
      <c r="G26" t="str" cm="1">
        <f t="array" ref="G26">IF(Working!$A26="","",INDEX(Working!$A$2:INDEX(Working!$A:$A, MATCH("zzz", Working!$A:$A)), MOD(ROW()-ROW(G$2)+G$1, COUNTA(Working!$A$2:INDEX(Working!$A:$A, MATCH("zzz", Working!$A:$A)))) + 1))</f>
        <v>ps3</v>
      </c>
      <c r="H26" t="str" cm="1">
        <f t="array" ref="H26">IF(Working!$A26="","",INDEX(Working!$A$2:INDEX(Working!$A:$A, MATCH("zzz", Working!$A:$A)), MOD(ROW()-ROW(H$2)+H$1, COUNTA(Working!$A$2:INDEX(Working!$A:$A, MATCH("zzz", Working!$A:$A)))) + 1))</f>
        <v>psp</v>
      </c>
      <c r="I26" t="str" cm="1">
        <f t="array" ref="I26">IF(Working!$A26="","",INDEX(Working!$A$2:INDEX(Working!$A:$A, MATCH("zzz", Working!$A:$A)), MOD(ROW()-ROW(I$2)+I$1, COUNTA(Working!$A$2:INDEX(Working!$A:$A, MATCH("zzz", Working!$A:$A)))) + 1))</f>
        <v>psvita</v>
      </c>
      <c r="J26" t="str" cm="1">
        <f t="array" ref="J26">IF(Working!$A26="","",INDEX(Working!$A$2:INDEX(Working!$A:$A, MATCH("zzz", Working!$A:$A)), MOD(ROW()-ROW(J$2)+J$1, COUNTA(Working!$A$2:INDEX(Working!$A:$A, MATCH("zzz", Working!$A:$A)))) + 1))</f>
        <v>ports</v>
      </c>
      <c r="K26" t="str" cm="1">
        <f t="array" ref="K26">IF(Working!$A26="","",INDEX(Working!$A$2:INDEX(Working!$A:$A, MATCH("zzz", Working!$A:$A)), MOD(ROW()-ROW(K$2)+K$1, COUNTA(Working!$A$2:INDEX(Working!$A:$A, MATCH("zzz", Working!$A:$A)))) + 1))</f>
        <v>vircon32</v>
      </c>
      <c r="L26" t="str" cm="1">
        <f t="array" ref="L26">IF(Working!$A26="","",INDEX(Working!$A$2:INDEX(Working!$A:$A, MATCH("zzz", Working!$A:$A)), MOD(ROW()-ROW(L$2)+L$1, COUNTA(Working!$A$2:INDEX(Working!$A:$A, MATCH("zzz", Working!$A:$A)))) + 1))</f>
        <v>Mario</v>
      </c>
      <c r="Z26" t="str">
        <v>psx</v>
      </c>
    </row>
    <row r="27" spans="1:26" ht="15.75" customHeight="1" x14ac:dyDescent="0.2">
      <c r="A27" t="str">
        <v>ps2</v>
      </c>
      <c r="B27" t="str">
        <v>025</v>
      </c>
      <c r="C27" t="str" cm="1">
        <f t="array" ref="C27">IF(Working!$A27="","",INDEX(Working!$A$2:INDEX(Working!$A:$A, MATCH("zzz", Working!$A:$A)), MOD(ROW()-ROW(C$2)+C$1, COUNTA(Working!$A$2:INDEX(Working!$A:$A, MATCH("zzz", Working!$A:$A)))) + 1))</f>
        <v>neogeo</v>
      </c>
      <c r="D27" t="str" cm="1">
        <f t="array" ref="D27">IF(Working!$A27="","",INDEX(Working!$A$2:INDEX(Working!$A:$A, MATCH("zzz", Working!$A:$A)), MOD(ROW()-ROW(D$2)+D$1, COUNTA(Working!$A$2:INDEX(Working!$A:$A, MATCH("zzz", Working!$A:$A)))) + 1))</f>
        <v>psx</v>
      </c>
      <c r="E27" t="str" cm="1">
        <f t="array" ref="E27">IF(Working!$A27="","",INDEX(Working!$A$2:INDEX(Working!$A:$A, MATCH("zzz", Working!$A:$A)), MOD(ROW()-ROW(E$2)+E$1, COUNTA(Working!$A$2:INDEX(Working!$A:$A, MATCH("zzz", Working!$A:$A)))) + 1))</f>
        <v>ps2</v>
      </c>
      <c r="F27" t="str" cm="1">
        <f t="array" ref="F27">IF(Working!$A27="","",INDEX(Working!$A$2:INDEX(Working!$A:$A, MATCH("zzz", Working!$A:$A)), MOD(ROW()-ROW(F$2)+F$1, COUNTA(Working!$A$2:INDEX(Working!$A:$A, MATCH("zzz", Working!$A:$A)))) + 1))</f>
        <v>ps3</v>
      </c>
      <c r="G27" t="str" cm="1">
        <f t="array" ref="G27">IF(Working!$A27="","",INDEX(Working!$A$2:INDEX(Working!$A:$A, MATCH("zzz", Working!$A:$A)), MOD(ROW()-ROW(G$2)+G$1, COUNTA(Working!$A$2:INDEX(Working!$A:$A, MATCH("zzz", Working!$A:$A)))) + 1))</f>
        <v>psp</v>
      </c>
      <c r="H27" t="str" cm="1">
        <f t="array" ref="H27">IF(Working!$A27="","",INDEX(Working!$A$2:INDEX(Working!$A:$A, MATCH("zzz", Working!$A:$A)), MOD(ROW()-ROW(H$2)+H$1, COUNTA(Working!$A$2:INDEX(Working!$A:$A, MATCH("zzz", Working!$A:$A)))) + 1))</f>
        <v>psvita</v>
      </c>
      <c r="I27" t="str" cm="1">
        <f t="array" ref="I27">IF(Working!$A27="","",INDEX(Working!$A$2:INDEX(Working!$A:$A, MATCH("zzz", Working!$A:$A)), MOD(ROW()-ROW(I$2)+I$1, COUNTA(Working!$A$2:INDEX(Working!$A:$A, MATCH("zzz", Working!$A:$A)))) + 1))</f>
        <v>ports</v>
      </c>
      <c r="J27" t="str" cm="1">
        <f t="array" ref="J27">IF(Working!$A27="","",INDEX(Working!$A$2:INDEX(Working!$A:$A, MATCH("zzz", Working!$A:$A)), MOD(ROW()-ROW(J$2)+J$1, COUNTA(Working!$A$2:INDEX(Working!$A:$A, MATCH("zzz", Working!$A:$A)))) + 1))</f>
        <v>vircon32</v>
      </c>
      <c r="K27" t="str" cm="1">
        <f t="array" ref="K27">IF(Working!$A27="","",INDEX(Working!$A$2:INDEX(Working!$A:$A, MATCH("zzz", Working!$A:$A)), MOD(ROW()-ROW(K$2)+K$1, COUNTA(Working!$A$2:INDEX(Working!$A:$A, MATCH("zzz", Working!$A:$A)))) + 1))</f>
        <v>Mario</v>
      </c>
      <c r="L27" t="str" cm="1">
        <f t="array" ref="L27">IF(Working!$A27="","",INDEX(Working!$A$2:INDEX(Working!$A:$A, MATCH("zzz", Working!$A:$A)), MOD(ROW()-ROW(L$2)+L$1, COUNTA(Working!$A$2:INDEX(Working!$A:$A, MATCH("zzz", Working!$A:$A)))) + 1))</f>
        <v>Zelda</v>
      </c>
      <c r="Z27" t="str">
        <v>ps2</v>
      </c>
    </row>
    <row r="28" spans="1:26" ht="15.75" customHeight="1" x14ac:dyDescent="0.2">
      <c r="A28" t="str">
        <v>ps3</v>
      </c>
      <c r="B28" t="str">
        <v>026</v>
      </c>
      <c r="C28" t="str" cm="1">
        <f t="array" ref="C28">IF(Working!$A28="","",INDEX(Working!$A$2:INDEX(Working!$A:$A, MATCH("zzz", Working!$A:$A)), MOD(ROW()-ROW(C$2)+C$1, COUNTA(Working!$A$2:INDEX(Working!$A:$A, MATCH("zzz", Working!$A:$A)))) + 1))</f>
        <v>psx</v>
      </c>
      <c r="D28" t="str" cm="1">
        <f t="array" ref="D28">IF(Working!$A28="","",INDEX(Working!$A$2:INDEX(Working!$A:$A, MATCH("zzz", Working!$A:$A)), MOD(ROW()-ROW(D$2)+D$1, COUNTA(Working!$A$2:INDEX(Working!$A:$A, MATCH("zzz", Working!$A:$A)))) + 1))</f>
        <v>ps2</v>
      </c>
      <c r="E28" t="str" cm="1">
        <f t="array" ref="E28">IF(Working!$A28="","",INDEX(Working!$A$2:INDEX(Working!$A:$A, MATCH("zzz", Working!$A:$A)), MOD(ROW()-ROW(E$2)+E$1, COUNTA(Working!$A$2:INDEX(Working!$A:$A, MATCH("zzz", Working!$A:$A)))) + 1))</f>
        <v>ps3</v>
      </c>
      <c r="F28" t="str" cm="1">
        <f t="array" ref="F28">IF(Working!$A28="","",INDEX(Working!$A$2:INDEX(Working!$A:$A, MATCH("zzz", Working!$A:$A)), MOD(ROW()-ROW(F$2)+F$1, COUNTA(Working!$A$2:INDEX(Working!$A:$A, MATCH("zzz", Working!$A:$A)))) + 1))</f>
        <v>psp</v>
      </c>
      <c r="G28" t="str" cm="1">
        <f t="array" ref="G28">IF(Working!$A28="","",INDEX(Working!$A$2:INDEX(Working!$A:$A, MATCH("zzz", Working!$A:$A)), MOD(ROW()-ROW(G$2)+G$1, COUNTA(Working!$A$2:INDEX(Working!$A:$A, MATCH("zzz", Working!$A:$A)))) + 1))</f>
        <v>psvita</v>
      </c>
      <c r="H28" t="str" cm="1">
        <f t="array" ref="H28">IF(Working!$A28="","",INDEX(Working!$A$2:INDEX(Working!$A:$A, MATCH("zzz", Working!$A:$A)), MOD(ROW()-ROW(H$2)+H$1, COUNTA(Working!$A$2:INDEX(Working!$A:$A, MATCH("zzz", Working!$A:$A)))) + 1))</f>
        <v>ports</v>
      </c>
      <c r="I28" t="str" cm="1">
        <f t="array" ref="I28">IF(Working!$A28="","",INDEX(Working!$A$2:INDEX(Working!$A:$A, MATCH("zzz", Working!$A:$A)), MOD(ROW()-ROW(I$2)+I$1, COUNTA(Working!$A$2:INDEX(Working!$A:$A, MATCH("zzz", Working!$A:$A)))) + 1))</f>
        <v>vircon32</v>
      </c>
      <c r="J28" t="str" cm="1">
        <f t="array" ref="J28">IF(Working!$A28="","",INDEX(Working!$A$2:INDEX(Working!$A:$A, MATCH("zzz", Working!$A:$A)), MOD(ROW()-ROW(J$2)+J$1, COUNTA(Working!$A$2:INDEX(Working!$A:$A, MATCH("zzz", Working!$A:$A)))) + 1))</f>
        <v>Mario</v>
      </c>
      <c r="K28" t="str" cm="1">
        <f t="array" ref="K28">IF(Working!$A28="","",INDEX(Working!$A$2:INDEX(Working!$A:$A, MATCH("zzz", Working!$A:$A)), MOD(ROW()-ROW(K$2)+K$1, COUNTA(Working!$A$2:INDEX(Working!$A:$A, MATCH("zzz", Working!$A:$A)))) + 1))</f>
        <v>Zelda</v>
      </c>
      <c r="L28" t="str" cm="1">
        <f t="array" ref="L28">IF(Working!$A28="","",INDEX(Working!$A$2:INDEX(Working!$A:$A, MATCH("zzz", Working!$A:$A)), MOD(ROW()-ROW(L$2)+L$1, COUNTA(Working!$A$2:INDEX(Working!$A:$A, MATCH("zzz", Working!$A:$A)))) + 1))</f>
        <v>auto-allgames</v>
      </c>
      <c r="Z28" t="str">
        <v>ps3</v>
      </c>
    </row>
    <row r="29" spans="1:26" ht="15.75" customHeight="1" x14ac:dyDescent="0.2">
      <c r="A29" t="str">
        <v>psp</v>
      </c>
      <c r="B29" t="str">
        <v>027</v>
      </c>
      <c r="C29" t="str" cm="1">
        <f t="array" ref="C29">IF(Working!$A29="","",INDEX(Working!$A$2:INDEX(Working!$A:$A, MATCH("zzz", Working!$A:$A)), MOD(ROW()-ROW(C$2)+C$1, COUNTA(Working!$A$2:INDEX(Working!$A:$A, MATCH("zzz", Working!$A:$A)))) + 1))</f>
        <v>ps2</v>
      </c>
      <c r="D29" t="str" cm="1">
        <f t="array" ref="D29">IF(Working!$A29="","",INDEX(Working!$A$2:INDEX(Working!$A:$A, MATCH("zzz", Working!$A:$A)), MOD(ROW()-ROW(D$2)+D$1, COUNTA(Working!$A$2:INDEX(Working!$A:$A, MATCH("zzz", Working!$A:$A)))) + 1))</f>
        <v>ps3</v>
      </c>
      <c r="E29" t="str" cm="1">
        <f t="array" ref="E29">IF(Working!$A29="","",INDEX(Working!$A$2:INDEX(Working!$A:$A, MATCH("zzz", Working!$A:$A)), MOD(ROW()-ROW(E$2)+E$1, COUNTA(Working!$A$2:INDEX(Working!$A:$A, MATCH("zzz", Working!$A:$A)))) + 1))</f>
        <v>psp</v>
      </c>
      <c r="F29" t="str" cm="1">
        <f t="array" ref="F29">IF(Working!$A29="","",INDEX(Working!$A$2:INDEX(Working!$A:$A, MATCH("zzz", Working!$A:$A)), MOD(ROW()-ROW(F$2)+F$1, COUNTA(Working!$A$2:INDEX(Working!$A:$A, MATCH("zzz", Working!$A:$A)))) + 1))</f>
        <v>psvita</v>
      </c>
      <c r="G29" t="str" cm="1">
        <f t="array" ref="G29">IF(Working!$A29="","",INDEX(Working!$A$2:INDEX(Working!$A:$A, MATCH("zzz", Working!$A:$A)), MOD(ROW()-ROW(G$2)+G$1, COUNTA(Working!$A$2:INDEX(Working!$A:$A, MATCH("zzz", Working!$A:$A)))) + 1))</f>
        <v>ports</v>
      </c>
      <c r="H29" t="str" cm="1">
        <f t="array" ref="H29">IF(Working!$A29="","",INDEX(Working!$A$2:INDEX(Working!$A:$A, MATCH("zzz", Working!$A:$A)), MOD(ROW()-ROW(H$2)+H$1, COUNTA(Working!$A$2:INDEX(Working!$A:$A, MATCH("zzz", Working!$A:$A)))) + 1))</f>
        <v>vircon32</v>
      </c>
      <c r="I29" t="str" cm="1">
        <f t="array" ref="I29">IF(Working!$A29="","",INDEX(Working!$A$2:INDEX(Working!$A:$A, MATCH("zzz", Working!$A:$A)), MOD(ROW()-ROW(I$2)+I$1, COUNTA(Working!$A$2:INDEX(Working!$A:$A, MATCH("zzz", Working!$A:$A)))) + 1))</f>
        <v>Mario</v>
      </c>
      <c r="J29" t="str" cm="1">
        <f t="array" ref="J29">IF(Working!$A29="","",INDEX(Working!$A$2:INDEX(Working!$A:$A, MATCH("zzz", Working!$A:$A)), MOD(ROW()-ROW(J$2)+J$1, COUNTA(Working!$A$2:INDEX(Working!$A:$A, MATCH("zzz", Working!$A:$A)))) + 1))</f>
        <v>Zelda</v>
      </c>
      <c r="K29" t="str" cm="1">
        <f t="array" ref="K29">IF(Working!$A29="","",INDEX(Working!$A$2:INDEX(Working!$A:$A, MATCH("zzz", Working!$A:$A)), MOD(ROW()-ROW(K$2)+K$1, COUNTA(Working!$A$2:INDEX(Working!$A:$A, MATCH("zzz", Working!$A:$A)))) + 1))</f>
        <v>auto-allgames</v>
      </c>
      <c r="L29" t="str" cm="1">
        <f t="array" ref="L29">IF(Working!$A29="","",INDEX(Working!$A$2:INDEX(Working!$A:$A, MATCH("zzz", Working!$A:$A)), MOD(ROW()-ROW(L$2)+L$1, COUNTA(Working!$A$2:INDEX(Working!$A:$A, MATCH("zzz", Working!$A:$A)))) + 1))</f>
        <v>auto-favorites</v>
      </c>
      <c r="Z29" t="str">
        <v>psp</v>
      </c>
    </row>
    <row r="30" spans="1:26" ht="15.75" customHeight="1" x14ac:dyDescent="0.2">
      <c r="A30" t="str">
        <v>psvita</v>
      </c>
      <c r="B30" t="str">
        <v>028</v>
      </c>
      <c r="C30" t="str" cm="1">
        <f t="array" ref="C30">IF(Working!$A30="","",INDEX(Working!$A$2:INDEX(Working!$A:$A, MATCH("zzz", Working!$A:$A)), MOD(ROW()-ROW(C$2)+C$1, COUNTA(Working!$A$2:INDEX(Working!$A:$A, MATCH("zzz", Working!$A:$A)))) + 1))</f>
        <v>ps3</v>
      </c>
      <c r="D30" t="str" cm="1">
        <f t="array" ref="D30">IF(Working!$A30="","",INDEX(Working!$A$2:INDEX(Working!$A:$A, MATCH("zzz", Working!$A:$A)), MOD(ROW()-ROW(D$2)+D$1, COUNTA(Working!$A$2:INDEX(Working!$A:$A, MATCH("zzz", Working!$A:$A)))) + 1))</f>
        <v>psp</v>
      </c>
      <c r="E30" t="str" cm="1">
        <f t="array" ref="E30">IF(Working!$A30="","",INDEX(Working!$A$2:INDEX(Working!$A:$A, MATCH("zzz", Working!$A:$A)), MOD(ROW()-ROW(E$2)+E$1, COUNTA(Working!$A$2:INDEX(Working!$A:$A, MATCH("zzz", Working!$A:$A)))) + 1))</f>
        <v>psvita</v>
      </c>
      <c r="F30" t="str" cm="1">
        <f t="array" ref="F30">IF(Working!$A30="","",INDEX(Working!$A$2:INDEX(Working!$A:$A, MATCH("zzz", Working!$A:$A)), MOD(ROW()-ROW(F$2)+F$1, COUNTA(Working!$A$2:INDEX(Working!$A:$A, MATCH("zzz", Working!$A:$A)))) + 1))</f>
        <v>ports</v>
      </c>
      <c r="G30" t="str" cm="1">
        <f t="array" ref="G30">IF(Working!$A30="","",INDEX(Working!$A$2:INDEX(Working!$A:$A, MATCH("zzz", Working!$A:$A)), MOD(ROW()-ROW(G$2)+G$1, COUNTA(Working!$A$2:INDEX(Working!$A:$A, MATCH("zzz", Working!$A:$A)))) + 1))</f>
        <v>vircon32</v>
      </c>
      <c r="H30" t="str" cm="1">
        <f t="array" ref="H30">IF(Working!$A30="","",INDEX(Working!$A$2:INDEX(Working!$A:$A, MATCH("zzz", Working!$A:$A)), MOD(ROW()-ROW(H$2)+H$1, COUNTA(Working!$A$2:INDEX(Working!$A:$A, MATCH("zzz", Working!$A:$A)))) + 1))</f>
        <v>Mario</v>
      </c>
      <c r="I30" t="str" cm="1">
        <f t="array" ref="I30">IF(Working!$A30="","",INDEX(Working!$A$2:INDEX(Working!$A:$A, MATCH("zzz", Working!$A:$A)), MOD(ROW()-ROW(I$2)+I$1, COUNTA(Working!$A$2:INDEX(Working!$A:$A, MATCH("zzz", Working!$A:$A)))) + 1))</f>
        <v>Zelda</v>
      </c>
      <c r="J30" t="str" cm="1">
        <f t="array" ref="J30">IF(Working!$A30="","",INDEX(Working!$A$2:INDEX(Working!$A:$A, MATCH("zzz", Working!$A:$A)), MOD(ROW()-ROW(J$2)+J$1, COUNTA(Working!$A$2:INDEX(Working!$A:$A, MATCH("zzz", Working!$A:$A)))) + 1))</f>
        <v>auto-allgames</v>
      </c>
      <c r="K30" t="str" cm="1">
        <f t="array" ref="K30">IF(Working!$A30="","",INDEX(Working!$A$2:INDEX(Working!$A:$A, MATCH("zzz", Working!$A:$A)), MOD(ROW()-ROW(K$2)+K$1, COUNTA(Working!$A$2:INDEX(Working!$A:$A, MATCH("zzz", Working!$A:$A)))) + 1))</f>
        <v>auto-favorites</v>
      </c>
      <c r="L30" t="str" cm="1">
        <f t="array" ref="L30">IF(Working!$A30="","",INDEX(Working!$A$2:INDEX(Working!$A:$A, MATCH("zzz", Working!$A:$A)), MOD(ROW()-ROW(L$2)+L$1, COUNTA(Working!$A$2:INDEX(Working!$A:$A, MATCH("zzz", Working!$A:$A)))) + 1))</f>
        <v>auto-lastplayed</v>
      </c>
      <c r="Z30" t="str">
        <v>psvita</v>
      </c>
    </row>
    <row r="31" spans="1:26" ht="15.75" customHeight="1" x14ac:dyDescent="0.2">
      <c r="A31" t="str">
        <v>ports</v>
      </c>
      <c r="B31" t="str">
        <v>029</v>
      </c>
      <c r="C31" t="str" cm="1">
        <f t="array" ref="C31">IF(Working!$A31="","",INDEX(Working!$A$2:INDEX(Working!$A:$A, MATCH("zzz", Working!$A:$A)), MOD(ROW()-ROW(C$2)+C$1, COUNTA(Working!$A$2:INDEX(Working!$A:$A, MATCH("zzz", Working!$A:$A)))) + 1))</f>
        <v>psp</v>
      </c>
      <c r="D31" t="str" cm="1">
        <f t="array" ref="D31">IF(Working!$A31="","",INDEX(Working!$A$2:INDEX(Working!$A:$A, MATCH("zzz", Working!$A:$A)), MOD(ROW()-ROW(D$2)+D$1, COUNTA(Working!$A$2:INDEX(Working!$A:$A, MATCH("zzz", Working!$A:$A)))) + 1))</f>
        <v>psvita</v>
      </c>
      <c r="E31" t="str" cm="1">
        <f t="array" ref="E31">IF(Working!$A31="","",INDEX(Working!$A$2:INDEX(Working!$A:$A, MATCH("zzz", Working!$A:$A)), MOD(ROW()-ROW(E$2)+E$1, COUNTA(Working!$A$2:INDEX(Working!$A:$A, MATCH("zzz", Working!$A:$A)))) + 1))</f>
        <v>ports</v>
      </c>
      <c r="F31" t="str" cm="1">
        <f t="array" ref="F31">IF(Working!$A31="","",INDEX(Working!$A$2:INDEX(Working!$A:$A, MATCH("zzz", Working!$A:$A)), MOD(ROW()-ROW(F$2)+F$1, COUNTA(Working!$A$2:INDEX(Working!$A:$A, MATCH("zzz", Working!$A:$A)))) + 1))</f>
        <v>vircon32</v>
      </c>
      <c r="G31" t="str" cm="1">
        <f t="array" ref="G31">IF(Working!$A31="","",INDEX(Working!$A$2:INDEX(Working!$A:$A, MATCH("zzz", Working!$A:$A)), MOD(ROW()-ROW(G$2)+G$1, COUNTA(Working!$A$2:INDEX(Working!$A:$A, MATCH("zzz", Working!$A:$A)))) + 1))</f>
        <v>Mario</v>
      </c>
      <c r="H31" t="str" cm="1">
        <f t="array" ref="H31">IF(Working!$A31="","",INDEX(Working!$A$2:INDEX(Working!$A:$A, MATCH("zzz", Working!$A:$A)), MOD(ROW()-ROW(H$2)+H$1, COUNTA(Working!$A$2:INDEX(Working!$A:$A, MATCH("zzz", Working!$A:$A)))) + 1))</f>
        <v>Zelda</v>
      </c>
      <c r="I31" t="str" cm="1">
        <f t="array" ref="I31">IF(Working!$A31="","",INDEX(Working!$A$2:INDEX(Working!$A:$A, MATCH("zzz", Working!$A:$A)), MOD(ROW()-ROW(I$2)+I$1, COUNTA(Working!$A$2:INDEX(Working!$A:$A, MATCH("zzz", Working!$A:$A)))) + 1))</f>
        <v>auto-allgames</v>
      </c>
      <c r="J31" t="str" cm="1">
        <f t="array" ref="J31">IF(Working!$A31="","",INDEX(Working!$A$2:INDEX(Working!$A:$A, MATCH("zzz", Working!$A:$A)), MOD(ROW()-ROW(J$2)+J$1, COUNTA(Working!$A$2:INDEX(Working!$A:$A, MATCH("zzz", Working!$A:$A)))) + 1))</f>
        <v>auto-favorites</v>
      </c>
      <c r="K31" t="str" cm="1">
        <f t="array" ref="K31">IF(Working!$A31="","",INDEX(Working!$A$2:INDEX(Working!$A:$A, MATCH("zzz", Working!$A:$A)), MOD(ROW()-ROW(K$2)+K$1, COUNTA(Working!$A$2:INDEX(Working!$A:$A, MATCH("zzz", Working!$A:$A)))) + 1))</f>
        <v>auto-lastplayed</v>
      </c>
      <c r="L31" t="str" cm="1">
        <f t="array" ref="L31">IF(Working!$A31="","",INDEX(Working!$A$2:INDEX(Working!$A:$A, MATCH("zzz", Working!$A:$A)), MOD(ROW()-ROW(L$2)+L$1, COUNTA(Working!$A$2:INDEX(Working!$A:$A, MATCH("zzz", Working!$A:$A)))) + 1))</f>
        <v>androidapps</v>
      </c>
      <c r="Z31" t="str">
        <v>ports</v>
      </c>
    </row>
    <row r="32" spans="1:26" ht="15.75" customHeight="1" x14ac:dyDescent="0.2">
      <c r="A32" t="str">
        <v>vircon32</v>
      </c>
      <c r="B32" t="str">
        <v>030</v>
      </c>
      <c r="C32" t="str" cm="1">
        <f t="array" ref="C32">IF(Working!$A32="","",INDEX(Working!$A$2:INDEX(Working!$A:$A, MATCH("zzz", Working!$A:$A)), MOD(ROW()-ROW(C$2)+C$1, COUNTA(Working!$A$2:INDEX(Working!$A:$A, MATCH("zzz", Working!$A:$A)))) + 1))</f>
        <v>psvita</v>
      </c>
      <c r="D32" t="str" cm="1">
        <f t="array" ref="D32">IF(Working!$A32="","",INDEX(Working!$A$2:INDEX(Working!$A:$A, MATCH("zzz", Working!$A:$A)), MOD(ROW()-ROW(D$2)+D$1, COUNTA(Working!$A$2:INDEX(Working!$A:$A, MATCH("zzz", Working!$A:$A)))) + 1))</f>
        <v>ports</v>
      </c>
      <c r="E32" t="str" cm="1">
        <f t="array" ref="E32">IF(Working!$A32="","",INDEX(Working!$A$2:INDEX(Working!$A:$A, MATCH("zzz", Working!$A:$A)), MOD(ROW()-ROW(E$2)+E$1, COUNTA(Working!$A$2:INDEX(Working!$A:$A, MATCH("zzz", Working!$A:$A)))) + 1))</f>
        <v>vircon32</v>
      </c>
      <c r="F32" t="str" cm="1">
        <f t="array" ref="F32">IF(Working!$A32="","",INDEX(Working!$A$2:INDEX(Working!$A:$A, MATCH("zzz", Working!$A:$A)), MOD(ROW()-ROW(F$2)+F$1, COUNTA(Working!$A$2:INDEX(Working!$A:$A, MATCH("zzz", Working!$A:$A)))) + 1))</f>
        <v>Mario</v>
      </c>
      <c r="G32" t="str" cm="1">
        <f t="array" ref="G32">IF(Working!$A32="","",INDEX(Working!$A$2:INDEX(Working!$A:$A, MATCH("zzz", Working!$A:$A)), MOD(ROW()-ROW(G$2)+G$1, COUNTA(Working!$A$2:INDEX(Working!$A:$A, MATCH("zzz", Working!$A:$A)))) + 1))</f>
        <v>Zelda</v>
      </c>
      <c r="H32" t="str" cm="1">
        <f t="array" ref="H32">IF(Working!$A32="","",INDEX(Working!$A$2:INDEX(Working!$A:$A, MATCH("zzz", Working!$A:$A)), MOD(ROW()-ROW(H$2)+H$1, COUNTA(Working!$A$2:INDEX(Working!$A:$A, MATCH("zzz", Working!$A:$A)))) + 1))</f>
        <v>auto-allgames</v>
      </c>
      <c r="I32" t="str" cm="1">
        <f t="array" ref="I32">IF(Working!$A32="","",INDEX(Working!$A$2:INDEX(Working!$A:$A, MATCH("zzz", Working!$A:$A)), MOD(ROW()-ROW(I$2)+I$1, COUNTA(Working!$A$2:INDEX(Working!$A:$A, MATCH("zzz", Working!$A:$A)))) + 1))</f>
        <v>auto-favorites</v>
      </c>
      <c r="J32" t="str" cm="1">
        <f t="array" ref="J32">IF(Working!$A32="","",INDEX(Working!$A$2:INDEX(Working!$A:$A, MATCH("zzz", Working!$A:$A)), MOD(ROW()-ROW(J$2)+J$1, COUNTA(Working!$A$2:INDEX(Working!$A:$A, MATCH("zzz", Working!$A:$A)))) + 1))</f>
        <v>auto-lastplayed</v>
      </c>
      <c r="K32" t="str" cm="1">
        <f t="array" ref="K32">IF(Working!$A32="","",INDEX(Working!$A$2:INDEX(Working!$A:$A, MATCH("zzz", Working!$A:$A)), MOD(ROW()-ROW(K$2)+K$1, COUNTA(Working!$A$2:INDEX(Working!$A:$A, MATCH("zzz", Working!$A:$A)))) + 1))</f>
        <v>androidapps</v>
      </c>
      <c r="L32" t="str" cm="1">
        <f t="array" ref="L32">IF(Working!$A32="","",INDEX(Working!$A$2:INDEX(Working!$A:$A, MATCH("zzz", Working!$A:$A)), MOD(ROW()-ROW(L$2)+L$1, COUNTA(Working!$A$2:INDEX(Working!$A:$A, MATCH("zzz", Working!$A:$A)))) + 1))</f>
        <v>emulators</v>
      </c>
      <c r="Z32" t="str">
        <v>vircon32</v>
      </c>
    </row>
    <row r="33" spans="1:26" ht="15.75" customHeight="1" x14ac:dyDescent="0.2">
      <c r="A33" t="str">
        <v>Mario</v>
      </c>
      <c r="B33" t="str">
        <v>mario</v>
      </c>
      <c r="C33" t="str" cm="1">
        <f t="array" ref="C33">IF(Working!$A33="","",INDEX(Working!$A$2:INDEX(Working!$A:$A, MATCH("zzz", Working!$A:$A)), MOD(ROW()-ROW(C$2)+C$1, COUNTA(Working!$A$2:INDEX(Working!$A:$A, MATCH("zzz", Working!$A:$A)))) + 1))</f>
        <v>ports</v>
      </c>
      <c r="D33" t="str" cm="1">
        <f t="array" ref="D33">IF(Working!$A33="","",INDEX(Working!$A$2:INDEX(Working!$A:$A, MATCH("zzz", Working!$A:$A)), MOD(ROW()-ROW(D$2)+D$1, COUNTA(Working!$A$2:INDEX(Working!$A:$A, MATCH("zzz", Working!$A:$A)))) + 1))</f>
        <v>vircon32</v>
      </c>
      <c r="E33" t="str" cm="1">
        <f t="array" ref="E33">IF(Working!$A33="","",INDEX(Working!$A$2:INDEX(Working!$A:$A, MATCH("zzz", Working!$A:$A)), MOD(ROW()-ROW(E$2)+E$1, COUNTA(Working!$A$2:INDEX(Working!$A:$A, MATCH("zzz", Working!$A:$A)))) + 1))</f>
        <v>Mario</v>
      </c>
      <c r="F33" t="str" cm="1">
        <f t="array" ref="F33">IF(Working!$A33="","",INDEX(Working!$A$2:INDEX(Working!$A:$A, MATCH("zzz", Working!$A:$A)), MOD(ROW()-ROW(F$2)+F$1, COUNTA(Working!$A$2:INDEX(Working!$A:$A, MATCH("zzz", Working!$A:$A)))) + 1))</f>
        <v>Zelda</v>
      </c>
      <c r="G33" t="str" cm="1">
        <f t="array" ref="G33">IF(Working!$A33="","",INDEX(Working!$A$2:INDEX(Working!$A:$A, MATCH("zzz", Working!$A:$A)), MOD(ROW()-ROW(G$2)+G$1, COUNTA(Working!$A$2:INDEX(Working!$A:$A, MATCH("zzz", Working!$A:$A)))) + 1))</f>
        <v>auto-allgames</v>
      </c>
      <c r="H33" t="str" cm="1">
        <f t="array" ref="H33">IF(Working!$A33="","",INDEX(Working!$A$2:INDEX(Working!$A:$A, MATCH("zzz", Working!$A:$A)), MOD(ROW()-ROW(H$2)+H$1, COUNTA(Working!$A$2:INDEX(Working!$A:$A, MATCH("zzz", Working!$A:$A)))) + 1))</f>
        <v>auto-favorites</v>
      </c>
      <c r="I33" t="str" cm="1">
        <f t="array" ref="I33">IF(Working!$A33="","",INDEX(Working!$A$2:INDEX(Working!$A:$A, MATCH("zzz", Working!$A:$A)), MOD(ROW()-ROW(I$2)+I$1, COUNTA(Working!$A$2:INDEX(Working!$A:$A, MATCH("zzz", Working!$A:$A)))) + 1))</f>
        <v>auto-lastplayed</v>
      </c>
      <c r="J33" t="str" cm="1">
        <f t="array" ref="J33">IF(Working!$A33="","",INDEX(Working!$A$2:INDEX(Working!$A:$A, MATCH("zzz", Working!$A:$A)), MOD(ROW()-ROW(J$2)+J$1, COUNTA(Working!$A$2:INDEX(Working!$A:$A, MATCH("zzz", Working!$A:$A)))) + 1))</f>
        <v>androidapps</v>
      </c>
      <c r="K33" t="str" cm="1">
        <f t="array" ref="K33">IF(Working!$A33="","",INDEX(Working!$A$2:INDEX(Working!$A:$A, MATCH("zzz", Working!$A:$A)), MOD(ROW()-ROW(K$2)+K$1, COUNTA(Working!$A$2:INDEX(Working!$A:$A, MATCH("zzz", Working!$A:$A)))) + 1))</f>
        <v>emulators</v>
      </c>
      <c r="L33" t="str" cm="1">
        <f t="array" ref="L33">IF(Working!$A33="","",INDEX(Working!$A$2:INDEX(Working!$A:$A, MATCH("zzz", Working!$A:$A)), MOD(ROW()-ROW(L$2)+L$1, COUNTA(Working!$A$2:INDEX(Working!$A:$A, MATCH("zzz", Working!$A:$A)))) + 1))</f>
        <v>androidgames</v>
      </c>
      <c r="Z33" t="str">
        <v>Mario</v>
      </c>
    </row>
    <row r="34" spans="1:26" ht="15.75" customHeight="1" x14ac:dyDescent="0.2">
      <c r="A34" t="str">
        <v>Zelda</v>
      </c>
      <c r="B34" t="str">
        <v>zelda</v>
      </c>
      <c r="C34" t="str" cm="1">
        <f t="array" ref="C34">IF(Working!$A34="","",INDEX(Working!$A$2:INDEX(Working!$A:$A, MATCH("zzz", Working!$A:$A)), MOD(ROW()-ROW(C$2)+C$1, COUNTA(Working!$A$2:INDEX(Working!$A:$A, MATCH("zzz", Working!$A:$A)))) + 1))</f>
        <v>vircon32</v>
      </c>
      <c r="D34" t="str" cm="1">
        <f t="array" ref="D34">IF(Working!$A34="","",INDEX(Working!$A$2:INDEX(Working!$A:$A, MATCH("zzz", Working!$A:$A)), MOD(ROW()-ROW(D$2)+D$1, COUNTA(Working!$A$2:INDEX(Working!$A:$A, MATCH("zzz", Working!$A:$A)))) + 1))</f>
        <v>Mario</v>
      </c>
      <c r="E34" t="str" cm="1">
        <f t="array" ref="E34">IF(Working!$A34="","",INDEX(Working!$A$2:INDEX(Working!$A:$A, MATCH("zzz", Working!$A:$A)), MOD(ROW()-ROW(E$2)+E$1, COUNTA(Working!$A$2:INDEX(Working!$A:$A, MATCH("zzz", Working!$A:$A)))) + 1))</f>
        <v>Zelda</v>
      </c>
      <c r="F34" t="str" cm="1">
        <f t="array" ref="F34">IF(Working!$A34="","",INDEX(Working!$A$2:INDEX(Working!$A:$A, MATCH("zzz", Working!$A:$A)), MOD(ROW()-ROW(F$2)+F$1, COUNTA(Working!$A$2:INDEX(Working!$A:$A, MATCH("zzz", Working!$A:$A)))) + 1))</f>
        <v>auto-allgames</v>
      </c>
      <c r="G34" t="str" cm="1">
        <f t="array" ref="G34">IF(Working!$A34="","",INDEX(Working!$A$2:INDEX(Working!$A:$A, MATCH("zzz", Working!$A:$A)), MOD(ROW()-ROW(G$2)+G$1, COUNTA(Working!$A$2:INDEX(Working!$A:$A, MATCH("zzz", Working!$A:$A)))) + 1))</f>
        <v>auto-favorites</v>
      </c>
      <c r="H34" t="str" cm="1">
        <f t="array" ref="H34">IF(Working!$A34="","",INDEX(Working!$A$2:INDEX(Working!$A:$A, MATCH("zzz", Working!$A:$A)), MOD(ROW()-ROW(H$2)+H$1, COUNTA(Working!$A$2:INDEX(Working!$A:$A, MATCH("zzz", Working!$A:$A)))) + 1))</f>
        <v>auto-lastplayed</v>
      </c>
      <c r="I34" t="str" cm="1">
        <f t="array" ref="I34">IF(Working!$A34="","",INDEX(Working!$A$2:INDEX(Working!$A:$A, MATCH("zzz", Working!$A:$A)), MOD(ROW()-ROW(I$2)+I$1, COUNTA(Working!$A$2:INDEX(Working!$A:$A, MATCH("zzz", Working!$A:$A)))) + 1))</f>
        <v>androidapps</v>
      </c>
      <c r="J34" t="str" cm="1">
        <f t="array" ref="J34">IF(Working!$A34="","",INDEX(Working!$A$2:INDEX(Working!$A:$A, MATCH("zzz", Working!$A:$A)), MOD(ROW()-ROW(J$2)+J$1, COUNTA(Working!$A$2:INDEX(Working!$A:$A, MATCH("zzz", Working!$A:$A)))) + 1))</f>
        <v>emulators</v>
      </c>
      <c r="K34" t="str" cm="1">
        <f t="array" ref="K34">IF(Working!$A34="","",INDEX(Working!$A$2:INDEX(Working!$A:$A, MATCH("zzz", Working!$A:$A)), MOD(ROW()-ROW(K$2)+K$1, COUNTA(Working!$A$2:INDEX(Working!$A:$A, MATCH("zzz", Working!$A:$A)))) + 1))</f>
        <v>androidgames</v>
      </c>
      <c r="L34" t="str" cm="1">
        <f t="array" ref="L34">IF(Working!$A34="","",INDEX(Working!$A$2:INDEX(Working!$A:$A, MATCH("zzz", Working!$A:$A)), MOD(ROW()-ROW(L$2)+L$1, COUNTA(Working!$A$2:INDEX(Working!$A:$A, MATCH("zzz", Working!$A:$A)))) + 1))</f>
        <v>windows</v>
      </c>
      <c r="Z34" t="str">
        <v>Zelda</v>
      </c>
    </row>
    <row r="35" spans="1:26" ht="15.75" customHeight="1" x14ac:dyDescent="0.2">
      <c r="A35" t="str">
        <v>auto-allgames</v>
      </c>
      <c r="B35" t="str">
        <v>auto-collection</v>
      </c>
      <c r="C35" t="str" cm="1">
        <f t="array" ref="C35">IF(Working!$A35="","",INDEX(Working!$A$2:INDEX(Working!$A:$A, MATCH("zzz", Working!$A:$A)), MOD(ROW()-ROW(C$2)+C$1, COUNTA(Working!$A$2:INDEX(Working!$A:$A, MATCH("zzz", Working!$A:$A)))) + 1))</f>
        <v>Mario</v>
      </c>
      <c r="D35" t="str" cm="1">
        <f t="array" ref="D35">IF(Working!$A35="","",INDEX(Working!$A$2:INDEX(Working!$A:$A, MATCH("zzz", Working!$A:$A)), MOD(ROW()-ROW(D$2)+D$1, COUNTA(Working!$A$2:INDEX(Working!$A:$A, MATCH("zzz", Working!$A:$A)))) + 1))</f>
        <v>Zelda</v>
      </c>
      <c r="E35" t="str" cm="1">
        <f t="array" ref="E35">IF(Working!$A35="","",INDEX(Working!$A$2:INDEX(Working!$A:$A, MATCH("zzz", Working!$A:$A)), MOD(ROW()-ROW(E$2)+E$1, COUNTA(Working!$A$2:INDEX(Working!$A:$A, MATCH("zzz", Working!$A:$A)))) + 1))</f>
        <v>auto-allgames</v>
      </c>
      <c r="F35" t="str" cm="1">
        <f t="array" ref="F35">IF(Working!$A35="","",INDEX(Working!$A$2:INDEX(Working!$A:$A, MATCH("zzz", Working!$A:$A)), MOD(ROW()-ROW(F$2)+F$1, COUNTA(Working!$A$2:INDEX(Working!$A:$A, MATCH("zzz", Working!$A:$A)))) + 1))</f>
        <v>auto-favorites</v>
      </c>
      <c r="G35" t="str" cm="1">
        <f t="array" ref="G35">IF(Working!$A35="","",INDEX(Working!$A$2:INDEX(Working!$A:$A, MATCH("zzz", Working!$A:$A)), MOD(ROW()-ROW(G$2)+G$1, COUNTA(Working!$A$2:INDEX(Working!$A:$A, MATCH("zzz", Working!$A:$A)))) + 1))</f>
        <v>auto-lastplayed</v>
      </c>
      <c r="H35" t="str" cm="1">
        <f t="array" ref="H35">IF(Working!$A35="","",INDEX(Working!$A$2:INDEX(Working!$A:$A, MATCH("zzz", Working!$A:$A)), MOD(ROW()-ROW(H$2)+H$1, COUNTA(Working!$A$2:INDEX(Working!$A:$A, MATCH("zzz", Working!$A:$A)))) + 1))</f>
        <v>androidapps</v>
      </c>
      <c r="I35" t="str" cm="1">
        <f t="array" ref="I35">IF(Working!$A35="","",INDEX(Working!$A$2:INDEX(Working!$A:$A, MATCH("zzz", Working!$A:$A)), MOD(ROW()-ROW(I$2)+I$1, COUNTA(Working!$A$2:INDEX(Working!$A:$A, MATCH("zzz", Working!$A:$A)))) + 1))</f>
        <v>emulators</v>
      </c>
      <c r="J35" t="str" cm="1">
        <f t="array" ref="J35">IF(Working!$A35="","",INDEX(Working!$A$2:INDEX(Working!$A:$A, MATCH("zzz", Working!$A:$A)), MOD(ROW()-ROW(J$2)+J$1, COUNTA(Working!$A$2:INDEX(Working!$A:$A, MATCH("zzz", Working!$A:$A)))) + 1))</f>
        <v>androidgames</v>
      </c>
      <c r="K35" t="str" cm="1">
        <f t="array" ref="K35">IF(Working!$A35="","",INDEX(Working!$A$2:INDEX(Working!$A:$A, MATCH("zzz", Working!$A:$A)), MOD(ROW()-ROW(K$2)+K$1, COUNTA(Working!$A$2:INDEX(Working!$A:$A, MATCH("zzz", Working!$A:$A)))) + 1))</f>
        <v>windows</v>
      </c>
      <c r="L35" t="str" cm="1">
        <f t="array" ref="L35">IF(Working!$A35="","",INDEX(Working!$A$2:INDEX(Working!$A:$A, MATCH("zzz", Working!$A:$A)), MOD(ROW()-ROW(L$2)+L$1, COUNTA(Working!$A$2:INDEX(Working!$A:$A, MATCH("zzz", Working!$A:$A)))) + 1))</f>
        <v>arcade</v>
      </c>
      <c r="Z35" t="str">
        <v>auto-allgames</v>
      </c>
    </row>
    <row r="36" spans="1:26" ht="15.75" customHeight="1" x14ac:dyDescent="0.2">
      <c r="A36" t="str">
        <v>auto-favorites</v>
      </c>
      <c r="B36" t="str">
        <v>auto-collection</v>
      </c>
      <c r="C36" t="str" cm="1">
        <f t="array" ref="C36">IF(Working!$A36="","",INDEX(Working!$A$2:INDEX(Working!$A:$A, MATCH("zzz", Working!$A:$A)), MOD(ROW()-ROW(C$2)+C$1, COUNTA(Working!$A$2:INDEX(Working!$A:$A, MATCH("zzz", Working!$A:$A)))) + 1))</f>
        <v>Zelda</v>
      </c>
      <c r="D36" t="str" cm="1">
        <f t="array" ref="D36">IF(Working!$A36="","",INDEX(Working!$A$2:INDEX(Working!$A:$A, MATCH("zzz", Working!$A:$A)), MOD(ROW()-ROW(D$2)+D$1, COUNTA(Working!$A$2:INDEX(Working!$A:$A, MATCH("zzz", Working!$A:$A)))) + 1))</f>
        <v>auto-allgames</v>
      </c>
      <c r="E36" t="str" cm="1">
        <f t="array" ref="E36">IF(Working!$A36="","",INDEX(Working!$A$2:INDEX(Working!$A:$A, MATCH("zzz", Working!$A:$A)), MOD(ROW()-ROW(E$2)+E$1, COUNTA(Working!$A$2:INDEX(Working!$A:$A, MATCH("zzz", Working!$A:$A)))) + 1))</f>
        <v>auto-favorites</v>
      </c>
      <c r="F36" t="str" cm="1">
        <f t="array" ref="F36">IF(Working!$A36="","",INDEX(Working!$A$2:INDEX(Working!$A:$A, MATCH("zzz", Working!$A:$A)), MOD(ROW()-ROW(F$2)+F$1, COUNTA(Working!$A$2:INDEX(Working!$A:$A, MATCH("zzz", Working!$A:$A)))) + 1))</f>
        <v>auto-lastplayed</v>
      </c>
      <c r="G36" t="str" cm="1">
        <f t="array" ref="G36">IF(Working!$A36="","",INDEX(Working!$A$2:INDEX(Working!$A:$A, MATCH("zzz", Working!$A:$A)), MOD(ROW()-ROW(G$2)+G$1, COUNTA(Working!$A$2:INDEX(Working!$A:$A, MATCH("zzz", Working!$A:$A)))) + 1))</f>
        <v>androidapps</v>
      </c>
      <c r="H36" t="str" cm="1">
        <f t="array" ref="H36">IF(Working!$A36="","",INDEX(Working!$A$2:INDEX(Working!$A:$A, MATCH("zzz", Working!$A:$A)), MOD(ROW()-ROW(H$2)+H$1, COUNTA(Working!$A$2:INDEX(Working!$A:$A, MATCH("zzz", Working!$A:$A)))) + 1))</f>
        <v>emulators</v>
      </c>
      <c r="I36" t="str" cm="1">
        <f t="array" ref="I36">IF(Working!$A36="","",INDEX(Working!$A$2:INDEX(Working!$A:$A, MATCH("zzz", Working!$A:$A)), MOD(ROW()-ROW(I$2)+I$1, COUNTA(Working!$A$2:INDEX(Working!$A:$A, MATCH("zzz", Working!$A:$A)))) + 1))</f>
        <v>androidgames</v>
      </c>
      <c r="J36" t="str" cm="1">
        <f t="array" ref="J36">IF(Working!$A36="","",INDEX(Working!$A$2:INDEX(Working!$A:$A, MATCH("zzz", Working!$A:$A)), MOD(ROW()-ROW(J$2)+J$1, COUNTA(Working!$A$2:INDEX(Working!$A:$A, MATCH("zzz", Working!$A:$A)))) + 1))</f>
        <v>windows</v>
      </c>
      <c r="K36" t="str" cm="1">
        <f t="array" ref="K36">IF(Working!$A36="","",INDEX(Working!$A$2:INDEX(Working!$A:$A, MATCH("zzz", Working!$A:$A)), MOD(ROW()-ROW(K$2)+K$1, COUNTA(Working!$A$2:INDEX(Working!$A:$A, MATCH("zzz", Working!$A:$A)))) + 1))</f>
        <v>arcade</v>
      </c>
      <c r="L36" t="str" cm="1">
        <f t="array" ref="L36">IF(Working!$A36="","",INDEX(Working!$A$2:INDEX(Working!$A:$A, MATCH("zzz", Working!$A:$A)), MOD(ROW()-ROW(L$2)+L$1, COUNTA(Working!$A$2:INDEX(Working!$A:$A, MATCH("zzz", Working!$A:$A)))) + 1))</f>
        <v>nes</v>
      </c>
      <c r="Z36" t="str">
        <v>auto-favorites</v>
      </c>
    </row>
    <row r="37" spans="1:26" ht="15.75" customHeight="1" x14ac:dyDescent="0.2">
      <c r="A37" t="str">
        <v>auto-lastplayed</v>
      </c>
      <c r="B37" t="str">
        <v>auto-collection</v>
      </c>
      <c r="C37" t="str" cm="1">
        <f t="array" ref="C37">IF(Working!$A37="","",INDEX(Working!$A$2:INDEX(Working!$A:$A, MATCH("zzz", Working!$A:$A)), MOD(ROW()-ROW(C$2)+C$1, COUNTA(Working!$A$2:INDEX(Working!$A:$A, MATCH("zzz", Working!$A:$A)))) + 1))</f>
        <v>auto-allgames</v>
      </c>
      <c r="D37" t="str" cm="1">
        <f t="array" ref="D37">IF(Working!$A37="","",INDEX(Working!$A$2:INDEX(Working!$A:$A, MATCH("zzz", Working!$A:$A)), MOD(ROW()-ROW(D$2)+D$1, COUNTA(Working!$A$2:INDEX(Working!$A:$A, MATCH("zzz", Working!$A:$A)))) + 1))</f>
        <v>auto-favorites</v>
      </c>
      <c r="E37" t="str" cm="1">
        <f t="array" ref="E37">IF(Working!$A37="","",INDEX(Working!$A$2:INDEX(Working!$A:$A, MATCH("zzz", Working!$A:$A)), MOD(ROW()-ROW(E$2)+E$1, COUNTA(Working!$A$2:INDEX(Working!$A:$A, MATCH("zzz", Working!$A:$A)))) + 1))</f>
        <v>auto-lastplayed</v>
      </c>
      <c r="F37" t="str" cm="1">
        <f t="array" ref="F37">IF(Working!$A37="","",INDEX(Working!$A$2:INDEX(Working!$A:$A, MATCH("zzz", Working!$A:$A)), MOD(ROW()-ROW(F$2)+F$1, COUNTA(Working!$A$2:INDEX(Working!$A:$A, MATCH("zzz", Working!$A:$A)))) + 1))</f>
        <v>androidapps</v>
      </c>
      <c r="G37" t="str" cm="1">
        <f t="array" ref="G37">IF(Working!$A37="","",INDEX(Working!$A$2:INDEX(Working!$A:$A, MATCH("zzz", Working!$A:$A)), MOD(ROW()-ROW(G$2)+G$1, COUNTA(Working!$A$2:INDEX(Working!$A:$A, MATCH("zzz", Working!$A:$A)))) + 1))</f>
        <v>emulators</v>
      </c>
      <c r="H37" t="str" cm="1">
        <f t="array" ref="H37">IF(Working!$A37="","",INDEX(Working!$A$2:INDEX(Working!$A:$A, MATCH("zzz", Working!$A:$A)), MOD(ROW()-ROW(H$2)+H$1, COUNTA(Working!$A$2:INDEX(Working!$A:$A, MATCH("zzz", Working!$A:$A)))) + 1))</f>
        <v>androidgames</v>
      </c>
      <c r="I37" t="str" cm="1">
        <f t="array" ref="I37">IF(Working!$A37="","",INDEX(Working!$A$2:INDEX(Working!$A:$A, MATCH("zzz", Working!$A:$A)), MOD(ROW()-ROW(I$2)+I$1, COUNTA(Working!$A$2:INDEX(Working!$A:$A, MATCH("zzz", Working!$A:$A)))) + 1))</f>
        <v>windows</v>
      </c>
      <c r="J37" t="str" cm="1">
        <f t="array" ref="J37">IF(Working!$A37="","",INDEX(Working!$A$2:INDEX(Working!$A:$A, MATCH("zzz", Working!$A:$A)), MOD(ROW()-ROW(J$2)+J$1, COUNTA(Working!$A$2:INDEX(Working!$A:$A, MATCH("zzz", Working!$A:$A)))) + 1))</f>
        <v>arcade</v>
      </c>
      <c r="K37" t="str" cm="1">
        <f t="array" ref="K37">IF(Working!$A37="","",INDEX(Working!$A$2:INDEX(Working!$A:$A, MATCH("zzz", Working!$A:$A)), MOD(ROW()-ROW(K$2)+K$1, COUNTA(Working!$A$2:INDEX(Working!$A:$A, MATCH("zzz", Working!$A:$A)))) + 1))</f>
        <v>nes</v>
      </c>
      <c r="L37" t="str" cm="1">
        <f t="array" ref="L37">IF(Working!$A37="","",INDEX(Working!$A$2:INDEX(Working!$A:$A, MATCH("zzz", Working!$A:$A)), MOD(ROW()-ROW(L$2)+L$1, COUNTA(Working!$A$2:INDEX(Working!$A:$A, MATCH("zzz", Working!$A:$A)))) + 1))</f>
        <v>snes</v>
      </c>
      <c r="Z37" t="str">
        <v>auto-lastplayed</v>
      </c>
    </row>
    <row r="38" spans="1:26" ht="15.75" customHeight="1" x14ac:dyDescent="0.2">
      <c r="C38" t="str" cm="1">
        <f t="array" ref="C38">IF(Working!$A38="","",INDEX(Working!$A$2:INDEX(Working!$A:$A, MATCH("zzz", Working!$A:$A)), MOD(ROW()-ROW(C$2)+C$1, COUNTA(Working!$A$2:INDEX(Working!$A:$A, MATCH("zzz", Working!$A:$A)))) + 1))</f>
        <v/>
      </c>
      <c r="D38" t="str" cm="1">
        <f t="array" ref="D38">IF(Working!$A38="","",INDEX(Working!$A$2:INDEX(Working!$A:$A, MATCH("zzz", Working!$A:$A)), MOD(ROW()-ROW(D$2)+D$1, COUNTA(Working!$A$2:INDEX(Working!$A:$A, MATCH("zzz", Working!$A:$A)))) + 1))</f>
        <v/>
      </c>
      <c r="E38" t="str" cm="1">
        <f t="array" ref="E38">IF(Working!$A38="","",INDEX(Working!$A$2:INDEX(Working!$A:$A, MATCH("zzz", Working!$A:$A)), MOD(ROW()-ROW(E$2)+E$1, COUNTA(Working!$A$2:INDEX(Working!$A:$A, MATCH("zzz", Working!$A:$A)))) + 1))</f>
        <v/>
      </c>
      <c r="F38" t="str" cm="1">
        <f t="array" ref="F38">IF(Working!$A38="","",INDEX(Working!$A$2:INDEX(Working!$A:$A, MATCH("zzz", Working!$A:$A)), MOD(ROW()-ROW(F$2)+F$1, COUNTA(Working!$A$2:INDEX(Working!$A:$A, MATCH("zzz", Working!$A:$A)))) + 1))</f>
        <v/>
      </c>
      <c r="G38" t="str" cm="1">
        <f t="array" ref="G38">IF(Working!$A38="","",INDEX(Working!$A$2:INDEX(Working!$A:$A, MATCH("zzz", Working!$A:$A)), MOD(ROW()-ROW(G$2)+G$1, COUNTA(Working!$A$2:INDEX(Working!$A:$A, MATCH("zzz", Working!$A:$A)))) + 1))</f>
        <v/>
      </c>
      <c r="H38" t="str" cm="1">
        <f t="array" ref="H38">IF(Working!$A38="","",INDEX(Working!$A$2:INDEX(Working!$A:$A, MATCH("zzz", Working!$A:$A)), MOD(ROW()-ROW(H$2)+H$1, COUNTA(Working!$A$2:INDEX(Working!$A:$A, MATCH("zzz", Working!$A:$A)))) + 1))</f>
        <v/>
      </c>
      <c r="I38" t="str" cm="1">
        <f t="array" ref="I38">IF(Working!$A38="","",INDEX(Working!$A$2:INDEX(Working!$A:$A, MATCH("zzz", Working!$A:$A)), MOD(ROW()-ROW(I$2)+I$1, COUNTA(Working!$A$2:INDEX(Working!$A:$A, MATCH("zzz", Working!$A:$A)))) + 1))</f>
        <v/>
      </c>
      <c r="J38" t="str" cm="1">
        <f t="array" ref="J38">IF(Working!$A38="","",INDEX(Working!$A$2:INDEX(Working!$A:$A, MATCH("zzz", Working!$A:$A)), MOD(ROW()-ROW(J$2)+J$1, COUNTA(Working!$A$2:INDEX(Working!$A:$A, MATCH("zzz", Working!$A:$A)))) + 1))</f>
        <v/>
      </c>
      <c r="K38" t="str" cm="1">
        <f t="array" ref="K38">IF(Working!$A38="","",INDEX(Working!$A$2:INDEX(Working!$A:$A, MATCH("zzz", Working!$A:$A)), MOD(ROW()-ROW(K$2)+K$1, COUNTA(Working!$A$2:INDEX(Working!$A:$A, MATCH("zzz", Working!$A:$A)))) + 1))</f>
        <v/>
      </c>
      <c r="L38" t="str" cm="1">
        <f t="array" ref="L38">IF(Working!$A38="","",INDEX(Working!$A$2:INDEX(Working!$A:$A, MATCH("zzz", Working!$A:$A)), MOD(ROW()-ROW(L$2)+L$1, COUNTA(Working!$A$2:INDEX(Working!$A:$A, MATCH("zzz", Working!$A:$A)))) + 1))</f>
        <v/>
      </c>
    </row>
    <row r="39" spans="1:26" ht="15.75" customHeight="1" x14ac:dyDescent="0.2">
      <c r="C39" t="str" cm="1">
        <f t="array" ref="C39">IF(Working!$A39="","",INDEX(Working!$A$2:INDEX(Working!$A:$A, MATCH("zzz", Working!$A:$A)), MOD(ROW()-ROW(C$2)+C$1, COUNTA(Working!$A$2:INDEX(Working!$A:$A, MATCH("zzz", Working!$A:$A)))) + 1))</f>
        <v/>
      </c>
      <c r="D39" t="str" cm="1">
        <f t="array" ref="D39">IF(Working!$A39="","",INDEX(Working!$A$2:INDEX(Working!$A:$A, MATCH("zzz", Working!$A:$A)), MOD(ROW()-ROW(D$2)+D$1, COUNTA(Working!$A$2:INDEX(Working!$A:$A, MATCH("zzz", Working!$A:$A)))) + 1))</f>
        <v/>
      </c>
      <c r="E39" t="str" cm="1">
        <f t="array" ref="E39">IF(Working!$A39="","",INDEX(Working!$A$2:INDEX(Working!$A:$A, MATCH("zzz", Working!$A:$A)), MOD(ROW()-ROW(E$2)+E$1, COUNTA(Working!$A$2:INDEX(Working!$A:$A, MATCH("zzz", Working!$A:$A)))) + 1))</f>
        <v/>
      </c>
      <c r="F39" t="str" cm="1">
        <f t="array" ref="F39">IF(Working!$A39="","",INDEX(Working!$A$2:INDEX(Working!$A:$A, MATCH("zzz", Working!$A:$A)), MOD(ROW()-ROW(F$2)+F$1, COUNTA(Working!$A$2:INDEX(Working!$A:$A, MATCH("zzz", Working!$A:$A)))) + 1))</f>
        <v/>
      </c>
      <c r="G39" t="str" cm="1">
        <f t="array" ref="G39">IF(Working!$A39="","",INDEX(Working!$A$2:INDEX(Working!$A:$A, MATCH("zzz", Working!$A:$A)), MOD(ROW()-ROW(G$2)+G$1, COUNTA(Working!$A$2:INDEX(Working!$A:$A, MATCH("zzz", Working!$A:$A)))) + 1))</f>
        <v/>
      </c>
      <c r="H39" t="str" cm="1">
        <f t="array" ref="H39">IF(Working!$A39="","",INDEX(Working!$A$2:INDEX(Working!$A:$A, MATCH("zzz", Working!$A:$A)), MOD(ROW()-ROW(H$2)+H$1, COUNTA(Working!$A$2:INDEX(Working!$A:$A, MATCH("zzz", Working!$A:$A)))) + 1))</f>
        <v/>
      </c>
      <c r="I39" t="str" cm="1">
        <f t="array" ref="I39">IF(Working!$A39="","",INDEX(Working!$A$2:INDEX(Working!$A:$A, MATCH("zzz", Working!$A:$A)), MOD(ROW()-ROW(I$2)+I$1, COUNTA(Working!$A$2:INDEX(Working!$A:$A, MATCH("zzz", Working!$A:$A)))) + 1))</f>
        <v/>
      </c>
      <c r="J39" t="str" cm="1">
        <f t="array" ref="J39">IF(Working!$A39="","",INDEX(Working!$A$2:INDEX(Working!$A:$A, MATCH("zzz", Working!$A:$A)), MOD(ROW()-ROW(J$2)+J$1, COUNTA(Working!$A$2:INDEX(Working!$A:$A, MATCH("zzz", Working!$A:$A)))) + 1))</f>
        <v/>
      </c>
      <c r="K39" t="str" cm="1">
        <f t="array" ref="K39">IF(Working!$A39="","",INDEX(Working!$A$2:INDEX(Working!$A:$A, MATCH("zzz", Working!$A:$A)), MOD(ROW()-ROW(K$2)+K$1, COUNTA(Working!$A$2:INDEX(Working!$A:$A, MATCH("zzz", Working!$A:$A)))) + 1))</f>
        <v/>
      </c>
      <c r="L39" t="str" cm="1">
        <f t="array" ref="L39">IF(Working!$A39="","",INDEX(Working!$A$2:INDEX(Working!$A:$A, MATCH("zzz", Working!$A:$A)), MOD(ROW()-ROW(L$2)+L$1, COUNTA(Working!$A$2:INDEX(Working!$A:$A, MATCH("zzz", Working!$A:$A)))) + 1))</f>
        <v/>
      </c>
    </row>
    <row r="40" spans="1:26" ht="15.75" customHeight="1" x14ac:dyDescent="0.2">
      <c r="C40" t="str" cm="1">
        <f t="array" ref="C40">IF(Working!$A40="","",INDEX(Working!$A$2:INDEX(Working!$A:$A, MATCH("zzz", Working!$A:$A)), MOD(ROW()-ROW(C$2)+C$1, COUNTA(Working!$A$2:INDEX(Working!$A:$A, MATCH("zzz", Working!$A:$A)))) + 1))</f>
        <v/>
      </c>
      <c r="D40" t="str" cm="1">
        <f t="array" ref="D40">IF(Working!$A40="","",INDEX(Working!$A$2:INDEX(Working!$A:$A, MATCH("zzz", Working!$A:$A)), MOD(ROW()-ROW(D$2)+D$1, COUNTA(Working!$A$2:INDEX(Working!$A:$A, MATCH("zzz", Working!$A:$A)))) + 1))</f>
        <v/>
      </c>
      <c r="E40" t="str" cm="1">
        <f t="array" ref="E40">IF(Working!$A40="","",INDEX(Working!$A$2:INDEX(Working!$A:$A, MATCH("zzz", Working!$A:$A)), MOD(ROW()-ROW(E$2)+E$1, COUNTA(Working!$A$2:INDEX(Working!$A:$A, MATCH("zzz", Working!$A:$A)))) + 1))</f>
        <v/>
      </c>
      <c r="F40" t="str" cm="1">
        <f t="array" ref="F40">IF(Working!$A40="","",INDEX(Working!$A$2:INDEX(Working!$A:$A, MATCH("zzz", Working!$A:$A)), MOD(ROW()-ROW(F$2)+F$1, COUNTA(Working!$A$2:INDEX(Working!$A:$A, MATCH("zzz", Working!$A:$A)))) + 1))</f>
        <v/>
      </c>
      <c r="G40" t="str" cm="1">
        <f t="array" ref="G40">IF(Working!$A40="","",INDEX(Working!$A$2:INDEX(Working!$A:$A, MATCH("zzz", Working!$A:$A)), MOD(ROW()-ROW(G$2)+G$1, COUNTA(Working!$A$2:INDEX(Working!$A:$A, MATCH("zzz", Working!$A:$A)))) + 1))</f>
        <v/>
      </c>
      <c r="H40" t="str" cm="1">
        <f t="array" ref="H40">IF(Working!$A40="","",INDEX(Working!$A$2:INDEX(Working!$A:$A, MATCH("zzz", Working!$A:$A)), MOD(ROW()-ROW(H$2)+H$1, COUNTA(Working!$A$2:INDEX(Working!$A:$A, MATCH("zzz", Working!$A:$A)))) + 1))</f>
        <v/>
      </c>
      <c r="I40" t="str" cm="1">
        <f t="array" ref="I40">IF(Working!$A40="","",INDEX(Working!$A$2:INDEX(Working!$A:$A, MATCH("zzz", Working!$A:$A)), MOD(ROW()-ROW(I$2)+I$1, COUNTA(Working!$A$2:INDEX(Working!$A:$A, MATCH("zzz", Working!$A:$A)))) + 1))</f>
        <v/>
      </c>
      <c r="J40" t="str" cm="1">
        <f t="array" ref="J40">IF(Working!$A40="","",INDEX(Working!$A$2:INDEX(Working!$A:$A, MATCH("zzz", Working!$A:$A)), MOD(ROW()-ROW(J$2)+J$1, COUNTA(Working!$A$2:INDEX(Working!$A:$A, MATCH("zzz", Working!$A:$A)))) + 1))</f>
        <v/>
      </c>
      <c r="K40" t="str" cm="1">
        <f t="array" ref="K40">IF(Working!$A40="","",INDEX(Working!$A$2:INDEX(Working!$A:$A, MATCH("zzz", Working!$A:$A)), MOD(ROW()-ROW(K$2)+K$1, COUNTA(Working!$A$2:INDEX(Working!$A:$A, MATCH("zzz", Working!$A:$A)))) + 1))</f>
        <v/>
      </c>
      <c r="L40" t="str" cm="1">
        <f t="array" ref="L40">IF(Working!$A40="","",INDEX(Working!$A$2:INDEX(Working!$A:$A, MATCH("zzz", Working!$A:$A)), MOD(ROW()-ROW(L$2)+L$1, COUNTA(Working!$A$2:INDEX(Working!$A:$A, MATCH("zzz", Working!$A:$A)))) + 1))</f>
        <v/>
      </c>
    </row>
    <row r="41" spans="1:26" ht="15.75" customHeight="1" x14ac:dyDescent="0.2">
      <c r="C41" t="str" cm="1">
        <f t="array" ref="C41">IF(Working!$A41="","",INDEX(Working!$A$2:INDEX(Working!$A:$A, MATCH("zzz", Working!$A:$A)), MOD(ROW()-ROW(C$2)+C$1, COUNTA(Working!$A$2:INDEX(Working!$A:$A, MATCH("zzz", Working!$A:$A)))) + 1))</f>
        <v/>
      </c>
      <c r="D41" t="str" cm="1">
        <f t="array" ref="D41">IF(Working!$A41="","",INDEX(Working!$A$2:INDEX(Working!$A:$A, MATCH("zzz", Working!$A:$A)), MOD(ROW()-ROW(D$2)+D$1, COUNTA(Working!$A$2:INDEX(Working!$A:$A, MATCH("zzz", Working!$A:$A)))) + 1))</f>
        <v/>
      </c>
      <c r="E41" t="str" cm="1">
        <f t="array" ref="E41">IF(Working!$A41="","",INDEX(Working!$A$2:INDEX(Working!$A:$A, MATCH("zzz", Working!$A:$A)), MOD(ROW()-ROW(E$2)+E$1, COUNTA(Working!$A$2:INDEX(Working!$A:$A, MATCH("zzz", Working!$A:$A)))) + 1))</f>
        <v/>
      </c>
      <c r="F41" t="str" cm="1">
        <f t="array" ref="F41">IF(Working!$A41="","",INDEX(Working!$A$2:INDEX(Working!$A:$A, MATCH("zzz", Working!$A:$A)), MOD(ROW()-ROW(F$2)+F$1, COUNTA(Working!$A$2:INDEX(Working!$A:$A, MATCH("zzz", Working!$A:$A)))) + 1))</f>
        <v/>
      </c>
      <c r="G41" t="str" cm="1">
        <f t="array" ref="G41">IF(Working!$A41="","",INDEX(Working!$A$2:INDEX(Working!$A:$A, MATCH("zzz", Working!$A:$A)), MOD(ROW()-ROW(G$2)+G$1, COUNTA(Working!$A$2:INDEX(Working!$A:$A, MATCH("zzz", Working!$A:$A)))) + 1))</f>
        <v/>
      </c>
      <c r="H41" t="str" cm="1">
        <f t="array" ref="H41">IF(Working!$A41="","",INDEX(Working!$A$2:INDEX(Working!$A:$A, MATCH("zzz", Working!$A:$A)), MOD(ROW()-ROW(H$2)+H$1, COUNTA(Working!$A$2:INDEX(Working!$A:$A, MATCH("zzz", Working!$A:$A)))) + 1))</f>
        <v/>
      </c>
      <c r="I41" t="str" cm="1">
        <f t="array" ref="I41">IF(Working!$A41="","",INDEX(Working!$A$2:INDEX(Working!$A:$A, MATCH("zzz", Working!$A:$A)), MOD(ROW()-ROW(I$2)+I$1, COUNTA(Working!$A$2:INDEX(Working!$A:$A, MATCH("zzz", Working!$A:$A)))) + 1))</f>
        <v/>
      </c>
      <c r="J41" t="str" cm="1">
        <f t="array" ref="J41">IF(Working!$A41="","",INDEX(Working!$A$2:INDEX(Working!$A:$A, MATCH("zzz", Working!$A:$A)), MOD(ROW()-ROW(J$2)+J$1, COUNTA(Working!$A$2:INDEX(Working!$A:$A, MATCH("zzz", Working!$A:$A)))) + 1))</f>
        <v/>
      </c>
      <c r="K41" t="str" cm="1">
        <f t="array" ref="K41">IF(Working!$A41="","",INDEX(Working!$A$2:INDEX(Working!$A:$A, MATCH("zzz", Working!$A:$A)), MOD(ROW()-ROW(K$2)+K$1, COUNTA(Working!$A$2:INDEX(Working!$A:$A, MATCH("zzz", Working!$A:$A)))) + 1))</f>
        <v/>
      </c>
      <c r="L41" t="str" cm="1">
        <f t="array" ref="L41">IF(Working!$A41="","",INDEX(Working!$A$2:INDEX(Working!$A:$A, MATCH("zzz", Working!$A:$A)), MOD(ROW()-ROW(L$2)+L$1, COUNTA(Working!$A$2:INDEX(Working!$A:$A, MATCH("zzz", Working!$A:$A)))) + 1))</f>
        <v/>
      </c>
    </row>
    <row r="42" spans="1:26" ht="15.75" customHeight="1" x14ac:dyDescent="0.2">
      <c r="C42" t="str" cm="1">
        <f t="array" ref="C42">IF(Working!$A42="","",INDEX(Working!$A$2:INDEX(Working!$A:$A, MATCH("zzz", Working!$A:$A)), MOD(ROW()-ROW(C$2)+C$1, COUNTA(Working!$A$2:INDEX(Working!$A:$A, MATCH("zzz", Working!$A:$A)))) + 1))</f>
        <v/>
      </c>
      <c r="D42" t="str" cm="1">
        <f t="array" ref="D42">IF(Working!$A42="","",INDEX(Working!$A$2:INDEX(Working!$A:$A, MATCH("zzz", Working!$A:$A)), MOD(ROW()-ROW(D$2)+D$1, COUNTA(Working!$A$2:INDEX(Working!$A:$A, MATCH("zzz", Working!$A:$A)))) + 1))</f>
        <v/>
      </c>
      <c r="E42" t="str" cm="1">
        <f t="array" ref="E42">IF(Working!$A42="","",INDEX(Working!$A$2:INDEX(Working!$A:$A, MATCH("zzz", Working!$A:$A)), MOD(ROW()-ROW(E$2)+E$1, COUNTA(Working!$A$2:INDEX(Working!$A:$A, MATCH("zzz", Working!$A:$A)))) + 1))</f>
        <v/>
      </c>
      <c r="F42" t="str" cm="1">
        <f t="array" ref="F42">IF(Working!$A42="","",INDEX(Working!$A$2:INDEX(Working!$A:$A, MATCH("zzz", Working!$A:$A)), MOD(ROW()-ROW(F$2)+F$1, COUNTA(Working!$A$2:INDEX(Working!$A:$A, MATCH("zzz", Working!$A:$A)))) + 1))</f>
        <v/>
      </c>
      <c r="G42" t="str" cm="1">
        <f t="array" ref="G42">IF(Working!$A42="","",INDEX(Working!$A$2:INDEX(Working!$A:$A, MATCH("zzz", Working!$A:$A)), MOD(ROW()-ROW(G$2)+G$1, COUNTA(Working!$A$2:INDEX(Working!$A:$A, MATCH("zzz", Working!$A:$A)))) + 1))</f>
        <v/>
      </c>
      <c r="H42" t="str" cm="1">
        <f t="array" ref="H42">IF(Working!$A42="","",INDEX(Working!$A$2:INDEX(Working!$A:$A, MATCH("zzz", Working!$A:$A)), MOD(ROW()-ROW(H$2)+H$1, COUNTA(Working!$A$2:INDEX(Working!$A:$A, MATCH("zzz", Working!$A:$A)))) + 1))</f>
        <v/>
      </c>
      <c r="I42" t="str" cm="1">
        <f t="array" ref="I42">IF(Working!$A42="","",INDEX(Working!$A$2:INDEX(Working!$A:$A, MATCH("zzz", Working!$A:$A)), MOD(ROW()-ROW(I$2)+I$1, COUNTA(Working!$A$2:INDEX(Working!$A:$A, MATCH("zzz", Working!$A:$A)))) + 1))</f>
        <v/>
      </c>
      <c r="J42" t="str" cm="1">
        <f t="array" ref="J42">IF(Working!$A42="","",INDEX(Working!$A$2:INDEX(Working!$A:$A, MATCH("zzz", Working!$A:$A)), MOD(ROW()-ROW(J$2)+J$1, COUNTA(Working!$A$2:INDEX(Working!$A:$A, MATCH("zzz", Working!$A:$A)))) + 1))</f>
        <v/>
      </c>
      <c r="K42" t="str" cm="1">
        <f t="array" ref="K42">IF(Working!$A42="","",INDEX(Working!$A$2:INDEX(Working!$A:$A, MATCH("zzz", Working!$A:$A)), MOD(ROW()-ROW(K$2)+K$1, COUNTA(Working!$A$2:INDEX(Working!$A:$A, MATCH("zzz", Working!$A:$A)))) + 1))</f>
        <v/>
      </c>
      <c r="L42" t="str" cm="1">
        <f t="array" ref="L42">IF(Working!$A42="","",INDEX(Working!$A$2:INDEX(Working!$A:$A, MATCH("zzz", Working!$A:$A)), MOD(ROW()-ROW(L$2)+L$1, COUNTA(Working!$A$2:INDEX(Working!$A:$A, MATCH("zzz", Working!$A:$A)))) + 1))</f>
        <v/>
      </c>
    </row>
    <row r="43" spans="1:26" ht="15.75" customHeight="1" x14ac:dyDescent="0.2">
      <c r="C43" t="str" cm="1">
        <f t="array" ref="C43">IF(Working!$A43="","",INDEX(Working!$A$2:INDEX(Working!$A:$A, MATCH("zzz", Working!$A:$A)), MOD(ROW()-ROW(C$2)+C$1, COUNTA(Working!$A$2:INDEX(Working!$A:$A, MATCH("zzz", Working!$A:$A)))) + 1))</f>
        <v/>
      </c>
      <c r="D43" t="str" cm="1">
        <f t="array" ref="D43">IF(Working!$A43="","",INDEX(Working!$A$2:INDEX(Working!$A:$A, MATCH("zzz", Working!$A:$A)), MOD(ROW()-ROW(D$2)+D$1, COUNTA(Working!$A$2:INDEX(Working!$A:$A, MATCH("zzz", Working!$A:$A)))) + 1))</f>
        <v/>
      </c>
      <c r="E43" t="str" cm="1">
        <f t="array" ref="E43">IF(Working!$A43="","",INDEX(Working!$A$2:INDEX(Working!$A:$A, MATCH("zzz", Working!$A:$A)), MOD(ROW()-ROW(E$2)+E$1, COUNTA(Working!$A$2:INDEX(Working!$A:$A, MATCH("zzz", Working!$A:$A)))) + 1))</f>
        <v/>
      </c>
      <c r="F43" t="str" cm="1">
        <f t="array" ref="F43">IF(Working!$A43="","",INDEX(Working!$A$2:INDEX(Working!$A:$A, MATCH("zzz", Working!$A:$A)), MOD(ROW()-ROW(F$2)+F$1, COUNTA(Working!$A$2:INDEX(Working!$A:$A, MATCH("zzz", Working!$A:$A)))) + 1))</f>
        <v/>
      </c>
      <c r="G43" t="str" cm="1">
        <f t="array" ref="G43">IF(Working!$A43="","",INDEX(Working!$A$2:INDEX(Working!$A:$A, MATCH("zzz", Working!$A:$A)), MOD(ROW()-ROW(G$2)+G$1, COUNTA(Working!$A$2:INDEX(Working!$A:$A, MATCH("zzz", Working!$A:$A)))) + 1))</f>
        <v/>
      </c>
      <c r="H43" t="str" cm="1">
        <f t="array" ref="H43">IF(Working!$A43="","",INDEX(Working!$A$2:INDEX(Working!$A:$A, MATCH("zzz", Working!$A:$A)), MOD(ROW()-ROW(H$2)+H$1, COUNTA(Working!$A$2:INDEX(Working!$A:$A, MATCH("zzz", Working!$A:$A)))) + 1))</f>
        <v/>
      </c>
      <c r="I43" t="str" cm="1">
        <f t="array" ref="I43">IF(Working!$A43="","",INDEX(Working!$A$2:INDEX(Working!$A:$A, MATCH("zzz", Working!$A:$A)), MOD(ROW()-ROW(I$2)+I$1, COUNTA(Working!$A$2:INDEX(Working!$A:$A, MATCH("zzz", Working!$A:$A)))) + 1))</f>
        <v/>
      </c>
      <c r="J43" t="str" cm="1">
        <f t="array" ref="J43">IF(Working!$A43="","",INDEX(Working!$A$2:INDEX(Working!$A:$A, MATCH("zzz", Working!$A:$A)), MOD(ROW()-ROW(J$2)+J$1, COUNTA(Working!$A$2:INDEX(Working!$A:$A, MATCH("zzz", Working!$A:$A)))) + 1))</f>
        <v/>
      </c>
      <c r="K43" t="str" cm="1">
        <f t="array" ref="K43">IF(Working!$A43="","",INDEX(Working!$A$2:INDEX(Working!$A:$A, MATCH("zzz", Working!$A:$A)), MOD(ROW()-ROW(K$2)+K$1, COUNTA(Working!$A$2:INDEX(Working!$A:$A, MATCH("zzz", Working!$A:$A)))) + 1))</f>
        <v/>
      </c>
      <c r="L43" t="str" cm="1">
        <f t="array" ref="L43">IF(Working!$A43="","",INDEX(Working!$A$2:INDEX(Working!$A:$A, MATCH("zzz", Working!$A:$A)), MOD(ROW()-ROW(L$2)+L$1, COUNTA(Working!$A$2:INDEX(Working!$A:$A, MATCH("zzz", Working!$A:$A)))) + 1))</f>
        <v/>
      </c>
    </row>
    <row r="44" spans="1:26" ht="15.75" customHeight="1" x14ac:dyDescent="0.2">
      <c r="C44" t="str" cm="1">
        <f t="array" ref="C44">IF(Working!$A44="","",INDEX(Working!$A$2:INDEX(Working!$A:$A, MATCH("zzz", Working!$A:$A)), MOD(ROW()-ROW(C$2)+C$1, COUNTA(Working!$A$2:INDEX(Working!$A:$A, MATCH("zzz", Working!$A:$A)))) + 1))</f>
        <v/>
      </c>
      <c r="D44" t="str" cm="1">
        <f t="array" ref="D44">IF(Working!$A44="","",INDEX(Working!$A$2:INDEX(Working!$A:$A, MATCH("zzz", Working!$A:$A)), MOD(ROW()-ROW(D$2)+D$1, COUNTA(Working!$A$2:INDEX(Working!$A:$A, MATCH("zzz", Working!$A:$A)))) + 1))</f>
        <v/>
      </c>
      <c r="E44" t="str" cm="1">
        <f t="array" ref="E44">IF(Working!$A44="","",INDEX(Working!$A$2:INDEX(Working!$A:$A, MATCH("zzz", Working!$A:$A)), MOD(ROW()-ROW(E$2)+E$1, COUNTA(Working!$A$2:INDEX(Working!$A:$A, MATCH("zzz", Working!$A:$A)))) + 1))</f>
        <v/>
      </c>
      <c r="F44" t="str" cm="1">
        <f t="array" ref="F44">IF(Working!$A44="","",INDEX(Working!$A$2:INDEX(Working!$A:$A, MATCH("zzz", Working!$A:$A)), MOD(ROW()-ROW(F$2)+F$1, COUNTA(Working!$A$2:INDEX(Working!$A:$A, MATCH("zzz", Working!$A:$A)))) + 1))</f>
        <v/>
      </c>
      <c r="G44" t="str" cm="1">
        <f t="array" ref="G44">IF(Working!$A44="","",INDEX(Working!$A$2:INDEX(Working!$A:$A, MATCH("zzz", Working!$A:$A)), MOD(ROW()-ROW(G$2)+G$1, COUNTA(Working!$A$2:INDEX(Working!$A:$A, MATCH("zzz", Working!$A:$A)))) + 1))</f>
        <v/>
      </c>
      <c r="H44" t="str" cm="1">
        <f t="array" ref="H44">IF(Working!$A44="","",INDEX(Working!$A$2:INDEX(Working!$A:$A, MATCH("zzz", Working!$A:$A)), MOD(ROW()-ROW(H$2)+H$1, COUNTA(Working!$A$2:INDEX(Working!$A:$A, MATCH("zzz", Working!$A:$A)))) + 1))</f>
        <v/>
      </c>
      <c r="I44" t="str" cm="1">
        <f t="array" ref="I44">IF(Working!$A44="","",INDEX(Working!$A$2:INDEX(Working!$A:$A, MATCH("zzz", Working!$A:$A)), MOD(ROW()-ROW(I$2)+I$1, COUNTA(Working!$A$2:INDEX(Working!$A:$A, MATCH("zzz", Working!$A:$A)))) + 1))</f>
        <v/>
      </c>
      <c r="J44" t="str" cm="1">
        <f t="array" ref="J44">IF(Working!$A44="","",INDEX(Working!$A$2:INDEX(Working!$A:$A, MATCH("zzz", Working!$A:$A)), MOD(ROW()-ROW(J$2)+J$1, COUNTA(Working!$A$2:INDEX(Working!$A:$A, MATCH("zzz", Working!$A:$A)))) + 1))</f>
        <v/>
      </c>
      <c r="K44" t="str" cm="1">
        <f t="array" ref="K44">IF(Working!$A44="","",INDEX(Working!$A$2:INDEX(Working!$A:$A, MATCH("zzz", Working!$A:$A)), MOD(ROW()-ROW(K$2)+K$1, COUNTA(Working!$A$2:INDEX(Working!$A:$A, MATCH("zzz", Working!$A:$A)))) + 1))</f>
        <v/>
      </c>
      <c r="L44" t="str" cm="1">
        <f t="array" ref="L44">IF(Working!$A44="","",INDEX(Working!$A$2:INDEX(Working!$A:$A, MATCH("zzz", Working!$A:$A)), MOD(ROW()-ROW(L$2)+L$1, COUNTA(Working!$A$2:INDEX(Working!$A:$A, MATCH("zzz", Working!$A:$A)))) + 1))</f>
        <v/>
      </c>
    </row>
    <row r="45" spans="1:26" ht="15.75" customHeight="1" x14ac:dyDescent="0.2">
      <c r="C45" t="str" cm="1">
        <f t="array" ref="C45">IF(Working!$A45="","",INDEX(Working!$A$2:INDEX(Working!$A:$A, MATCH("zzz", Working!$A:$A)), MOD(ROW()-ROW(C$2)+C$1, COUNTA(Working!$A$2:INDEX(Working!$A:$A, MATCH("zzz", Working!$A:$A)))) + 1))</f>
        <v/>
      </c>
      <c r="D45" t="str" cm="1">
        <f t="array" ref="D45">IF(Working!$A45="","",INDEX(Working!$A$2:INDEX(Working!$A:$A, MATCH("zzz", Working!$A:$A)), MOD(ROW()-ROW(D$2)+D$1, COUNTA(Working!$A$2:INDEX(Working!$A:$A, MATCH("zzz", Working!$A:$A)))) + 1))</f>
        <v/>
      </c>
      <c r="E45" t="str" cm="1">
        <f t="array" ref="E45">IF(Working!$A45="","",INDEX(Working!$A$2:INDEX(Working!$A:$A, MATCH("zzz", Working!$A:$A)), MOD(ROW()-ROW(E$2)+E$1, COUNTA(Working!$A$2:INDEX(Working!$A:$A, MATCH("zzz", Working!$A:$A)))) + 1))</f>
        <v/>
      </c>
      <c r="F45" t="str" cm="1">
        <f t="array" ref="F45">IF(Working!$A45="","",INDEX(Working!$A$2:INDEX(Working!$A:$A, MATCH("zzz", Working!$A:$A)), MOD(ROW()-ROW(F$2)+F$1, COUNTA(Working!$A$2:INDEX(Working!$A:$A, MATCH("zzz", Working!$A:$A)))) + 1))</f>
        <v/>
      </c>
      <c r="G45" t="str" cm="1">
        <f t="array" ref="G45">IF(Working!$A45="","",INDEX(Working!$A$2:INDEX(Working!$A:$A, MATCH("zzz", Working!$A:$A)), MOD(ROW()-ROW(G$2)+G$1, COUNTA(Working!$A$2:INDEX(Working!$A:$A, MATCH("zzz", Working!$A:$A)))) + 1))</f>
        <v/>
      </c>
      <c r="H45" t="str" cm="1">
        <f t="array" ref="H45">IF(Working!$A45="","",INDEX(Working!$A$2:INDEX(Working!$A:$A, MATCH("zzz", Working!$A:$A)), MOD(ROW()-ROW(H$2)+H$1, COUNTA(Working!$A$2:INDEX(Working!$A:$A, MATCH("zzz", Working!$A:$A)))) + 1))</f>
        <v/>
      </c>
      <c r="I45" t="str" cm="1">
        <f t="array" ref="I45">IF(Working!$A45="","",INDEX(Working!$A$2:INDEX(Working!$A:$A, MATCH("zzz", Working!$A:$A)), MOD(ROW()-ROW(I$2)+I$1, COUNTA(Working!$A$2:INDEX(Working!$A:$A, MATCH("zzz", Working!$A:$A)))) + 1))</f>
        <v/>
      </c>
      <c r="J45" t="str" cm="1">
        <f t="array" ref="J45">IF(Working!$A45="","",INDEX(Working!$A$2:INDEX(Working!$A:$A, MATCH("zzz", Working!$A:$A)), MOD(ROW()-ROW(J$2)+J$1, COUNTA(Working!$A$2:INDEX(Working!$A:$A, MATCH("zzz", Working!$A:$A)))) + 1))</f>
        <v/>
      </c>
      <c r="K45" t="str" cm="1">
        <f t="array" ref="K45">IF(Working!$A45="","",INDEX(Working!$A$2:INDEX(Working!$A:$A, MATCH("zzz", Working!$A:$A)), MOD(ROW()-ROW(K$2)+K$1, COUNTA(Working!$A$2:INDEX(Working!$A:$A, MATCH("zzz", Working!$A:$A)))) + 1))</f>
        <v/>
      </c>
      <c r="L45" t="str" cm="1">
        <f t="array" ref="L45">IF(Working!$A45="","",INDEX(Working!$A$2:INDEX(Working!$A:$A, MATCH("zzz", Working!$A:$A)), MOD(ROW()-ROW(L$2)+L$1, COUNTA(Working!$A$2:INDEX(Working!$A:$A, MATCH("zzz", Working!$A:$A)))) + 1))</f>
        <v/>
      </c>
    </row>
    <row r="46" spans="1:26" ht="15.75" customHeight="1" x14ac:dyDescent="0.2">
      <c r="C46" t="str" cm="1">
        <f t="array" ref="C46">IF(Working!$A46="","",INDEX(Working!$A$2:INDEX(Working!$A:$A, MATCH("zzz", Working!$A:$A)), MOD(ROW()-ROW(C$2)+C$1, COUNTA(Working!$A$2:INDEX(Working!$A:$A, MATCH("zzz", Working!$A:$A)))) + 1))</f>
        <v/>
      </c>
      <c r="D46" t="str" cm="1">
        <f t="array" ref="D46">IF(Working!$A46="","",INDEX(Working!$A$2:INDEX(Working!$A:$A, MATCH("zzz", Working!$A:$A)), MOD(ROW()-ROW(D$2)+D$1, COUNTA(Working!$A$2:INDEX(Working!$A:$A, MATCH("zzz", Working!$A:$A)))) + 1))</f>
        <v/>
      </c>
      <c r="E46" t="str" cm="1">
        <f t="array" ref="E46">IF(Working!$A46="","",INDEX(Working!$A$2:INDEX(Working!$A:$A, MATCH("zzz", Working!$A:$A)), MOD(ROW()-ROW(E$2)+E$1, COUNTA(Working!$A$2:INDEX(Working!$A:$A, MATCH("zzz", Working!$A:$A)))) + 1))</f>
        <v/>
      </c>
      <c r="F46" t="str" cm="1">
        <f t="array" ref="F46">IF(Working!$A46="","",INDEX(Working!$A$2:INDEX(Working!$A:$A, MATCH("zzz", Working!$A:$A)), MOD(ROW()-ROW(F$2)+F$1, COUNTA(Working!$A$2:INDEX(Working!$A:$A, MATCH("zzz", Working!$A:$A)))) + 1))</f>
        <v/>
      </c>
      <c r="G46" t="str" cm="1">
        <f t="array" ref="G46">IF(Working!$A46="","",INDEX(Working!$A$2:INDEX(Working!$A:$A, MATCH("zzz", Working!$A:$A)), MOD(ROW()-ROW(G$2)+G$1, COUNTA(Working!$A$2:INDEX(Working!$A:$A, MATCH("zzz", Working!$A:$A)))) + 1))</f>
        <v/>
      </c>
      <c r="H46" t="str" cm="1">
        <f t="array" ref="H46">IF(Working!$A46="","",INDEX(Working!$A$2:INDEX(Working!$A:$A, MATCH("zzz", Working!$A:$A)), MOD(ROW()-ROW(H$2)+H$1, COUNTA(Working!$A$2:INDEX(Working!$A:$A, MATCH("zzz", Working!$A:$A)))) + 1))</f>
        <v/>
      </c>
      <c r="I46" t="str" cm="1">
        <f t="array" ref="I46">IF(Working!$A46="","",INDEX(Working!$A$2:INDEX(Working!$A:$A, MATCH("zzz", Working!$A:$A)), MOD(ROW()-ROW(I$2)+I$1, COUNTA(Working!$A$2:INDEX(Working!$A:$A, MATCH("zzz", Working!$A:$A)))) + 1))</f>
        <v/>
      </c>
      <c r="J46" t="str" cm="1">
        <f t="array" ref="J46">IF(Working!$A46="","",INDEX(Working!$A$2:INDEX(Working!$A:$A, MATCH("zzz", Working!$A:$A)), MOD(ROW()-ROW(J$2)+J$1, COUNTA(Working!$A$2:INDEX(Working!$A:$A, MATCH("zzz", Working!$A:$A)))) + 1))</f>
        <v/>
      </c>
      <c r="K46" t="str" cm="1">
        <f t="array" ref="K46">IF(Working!$A46="","",INDEX(Working!$A$2:INDEX(Working!$A:$A, MATCH("zzz", Working!$A:$A)), MOD(ROW()-ROW(K$2)+K$1, COUNTA(Working!$A$2:INDEX(Working!$A:$A, MATCH("zzz", Working!$A:$A)))) + 1))</f>
        <v/>
      </c>
      <c r="L46" t="str" cm="1">
        <f t="array" ref="L46">IF(Working!$A46="","",INDEX(Working!$A$2:INDEX(Working!$A:$A, MATCH("zzz", Working!$A:$A)), MOD(ROW()-ROW(L$2)+L$1, COUNTA(Working!$A$2:INDEX(Working!$A:$A, MATCH("zzz", Working!$A:$A)))) + 1))</f>
        <v/>
      </c>
    </row>
    <row r="47" spans="1:26" ht="15.75" customHeight="1" x14ac:dyDescent="0.2">
      <c r="C47" t="str" cm="1">
        <f t="array" ref="C47">IF(Working!$A47="","",INDEX(Working!$A$2:INDEX(Working!$A:$A, MATCH("zzz", Working!$A:$A)), MOD(ROW()-ROW(C$2)+C$1, COUNTA(Working!$A$2:INDEX(Working!$A:$A, MATCH("zzz", Working!$A:$A)))) + 1))</f>
        <v/>
      </c>
      <c r="D47" t="str" cm="1">
        <f t="array" ref="D47">IF(Working!$A47="","",INDEX(Working!$A$2:INDEX(Working!$A:$A, MATCH("zzz", Working!$A:$A)), MOD(ROW()-ROW(D$2)+D$1, COUNTA(Working!$A$2:INDEX(Working!$A:$A, MATCH("zzz", Working!$A:$A)))) + 1))</f>
        <v/>
      </c>
      <c r="E47" t="str" cm="1">
        <f t="array" ref="E47">IF(Working!$A47="","",INDEX(Working!$A$2:INDEX(Working!$A:$A, MATCH("zzz", Working!$A:$A)), MOD(ROW()-ROW(E$2)+E$1, COUNTA(Working!$A$2:INDEX(Working!$A:$A, MATCH("zzz", Working!$A:$A)))) + 1))</f>
        <v/>
      </c>
      <c r="F47" t="str" cm="1">
        <f t="array" ref="F47">IF(Working!$A47="","",INDEX(Working!$A$2:INDEX(Working!$A:$A, MATCH("zzz", Working!$A:$A)), MOD(ROW()-ROW(F$2)+F$1, COUNTA(Working!$A$2:INDEX(Working!$A:$A, MATCH("zzz", Working!$A:$A)))) + 1))</f>
        <v/>
      </c>
      <c r="G47" t="str" cm="1">
        <f t="array" ref="G47">IF(Working!$A47="","",INDEX(Working!$A$2:INDEX(Working!$A:$A, MATCH("zzz", Working!$A:$A)), MOD(ROW()-ROW(G$2)+G$1, COUNTA(Working!$A$2:INDEX(Working!$A:$A, MATCH("zzz", Working!$A:$A)))) + 1))</f>
        <v/>
      </c>
      <c r="H47" t="str" cm="1">
        <f t="array" ref="H47">IF(Working!$A47="","",INDEX(Working!$A$2:INDEX(Working!$A:$A, MATCH("zzz", Working!$A:$A)), MOD(ROW()-ROW(H$2)+H$1, COUNTA(Working!$A$2:INDEX(Working!$A:$A, MATCH("zzz", Working!$A:$A)))) + 1))</f>
        <v/>
      </c>
      <c r="I47" t="str" cm="1">
        <f t="array" ref="I47">IF(Working!$A47="","",INDEX(Working!$A$2:INDEX(Working!$A:$A, MATCH("zzz", Working!$A:$A)), MOD(ROW()-ROW(I$2)+I$1, COUNTA(Working!$A$2:INDEX(Working!$A:$A, MATCH("zzz", Working!$A:$A)))) + 1))</f>
        <v/>
      </c>
      <c r="J47" t="str" cm="1">
        <f t="array" ref="J47">IF(Working!$A47="","",INDEX(Working!$A$2:INDEX(Working!$A:$A, MATCH("zzz", Working!$A:$A)), MOD(ROW()-ROW(J$2)+J$1, COUNTA(Working!$A$2:INDEX(Working!$A:$A, MATCH("zzz", Working!$A:$A)))) + 1))</f>
        <v/>
      </c>
      <c r="K47" t="str" cm="1">
        <f t="array" ref="K47">IF(Working!$A47="","",INDEX(Working!$A$2:INDEX(Working!$A:$A, MATCH("zzz", Working!$A:$A)), MOD(ROW()-ROW(K$2)+K$1, COUNTA(Working!$A$2:INDEX(Working!$A:$A, MATCH("zzz", Working!$A:$A)))) + 1))</f>
        <v/>
      </c>
      <c r="L47" t="str" cm="1">
        <f t="array" ref="L47">IF(Working!$A47="","",INDEX(Working!$A$2:INDEX(Working!$A:$A, MATCH("zzz", Working!$A:$A)), MOD(ROW()-ROW(L$2)+L$1, COUNTA(Working!$A$2:INDEX(Working!$A:$A, MATCH("zzz", Working!$A:$A)))) + 1))</f>
        <v/>
      </c>
    </row>
    <row r="48" spans="1:26" ht="15.75" customHeight="1" x14ac:dyDescent="0.2">
      <c r="C48" t="str" cm="1">
        <f t="array" ref="C48">IF(Working!$A48="","",INDEX(Working!$A$2:INDEX(Working!$A:$A, MATCH("zzz", Working!$A:$A)), MOD(ROW()-ROW(C$2)+C$1, COUNTA(Working!$A$2:INDEX(Working!$A:$A, MATCH("zzz", Working!$A:$A)))) + 1))</f>
        <v/>
      </c>
      <c r="D48" t="str" cm="1">
        <f t="array" ref="D48">IF(Working!$A48="","",INDEX(Working!$A$2:INDEX(Working!$A:$A, MATCH("zzz", Working!$A:$A)), MOD(ROW()-ROW(D$2)+D$1, COUNTA(Working!$A$2:INDEX(Working!$A:$A, MATCH("zzz", Working!$A:$A)))) + 1))</f>
        <v/>
      </c>
      <c r="E48" t="str" cm="1">
        <f t="array" ref="E48">IF(Working!$A48="","",INDEX(Working!$A$2:INDEX(Working!$A:$A, MATCH("zzz", Working!$A:$A)), MOD(ROW()-ROW(E$2)+E$1, COUNTA(Working!$A$2:INDEX(Working!$A:$A, MATCH("zzz", Working!$A:$A)))) + 1))</f>
        <v/>
      </c>
      <c r="F48" t="str" cm="1">
        <f t="array" ref="F48">IF(Working!$A48="","",INDEX(Working!$A$2:INDEX(Working!$A:$A, MATCH("zzz", Working!$A:$A)), MOD(ROW()-ROW(F$2)+F$1, COUNTA(Working!$A$2:INDEX(Working!$A:$A, MATCH("zzz", Working!$A:$A)))) + 1))</f>
        <v/>
      </c>
      <c r="G48" t="str" cm="1">
        <f t="array" ref="G48">IF(Working!$A48="","",INDEX(Working!$A$2:INDEX(Working!$A:$A, MATCH("zzz", Working!$A:$A)), MOD(ROW()-ROW(G$2)+G$1, COUNTA(Working!$A$2:INDEX(Working!$A:$A, MATCH("zzz", Working!$A:$A)))) + 1))</f>
        <v/>
      </c>
      <c r="H48" t="str" cm="1">
        <f t="array" ref="H48">IF(Working!$A48="","",INDEX(Working!$A$2:INDEX(Working!$A:$A, MATCH("zzz", Working!$A:$A)), MOD(ROW()-ROW(H$2)+H$1, COUNTA(Working!$A$2:INDEX(Working!$A:$A, MATCH("zzz", Working!$A:$A)))) + 1))</f>
        <v/>
      </c>
      <c r="I48" t="str" cm="1">
        <f t="array" ref="I48">IF(Working!$A48="","",INDEX(Working!$A$2:INDEX(Working!$A:$A, MATCH("zzz", Working!$A:$A)), MOD(ROW()-ROW(I$2)+I$1, COUNTA(Working!$A$2:INDEX(Working!$A:$A, MATCH("zzz", Working!$A:$A)))) + 1))</f>
        <v/>
      </c>
      <c r="J48" t="str" cm="1">
        <f t="array" ref="J48">IF(Working!$A48="","",INDEX(Working!$A$2:INDEX(Working!$A:$A, MATCH("zzz", Working!$A:$A)), MOD(ROW()-ROW(J$2)+J$1, COUNTA(Working!$A$2:INDEX(Working!$A:$A, MATCH("zzz", Working!$A:$A)))) + 1))</f>
        <v/>
      </c>
      <c r="K48" t="str" cm="1">
        <f t="array" ref="K48">IF(Working!$A48="","",INDEX(Working!$A$2:INDEX(Working!$A:$A, MATCH("zzz", Working!$A:$A)), MOD(ROW()-ROW(K$2)+K$1, COUNTA(Working!$A$2:INDEX(Working!$A:$A, MATCH("zzz", Working!$A:$A)))) + 1))</f>
        <v/>
      </c>
      <c r="L48" t="str" cm="1">
        <f t="array" ref="L48">IF(Working!$A48="","",INDEX(Working!$A$2:INDEX(Working!$A:$A, MATCH("zzz", Working!$A:$A)), MOD(ROW()-ROW(L$2)+L$1, COUNTA(Working!$A$2:INDEX(Working!$A:$A, MATCH("zzz", Working!$A:$A)))) + 1))</f>
        <v/>
      </c>
    </row>
    <row r="49" spans="3:12" ht="15.75" customHeight="1" x14ac:dyDescent="0.2">
      <c r="C49" t="str" cm="1">
        <f t="array" ref="C49">IF(Working!$A49="","",INDEX(Working!$A$2:INDEX(Working!$A:$A, MATCH("zzz", Working!$A:$A)), MOD(ROW()-ROW(C$2)+C$1, COUNTA(Working!$A$2:INDEX(Working!$A:$A, MATCH("zzz", Working!$A:$A)))) + 1))</f>
        <v/>
      </c>
      <c r="D49" t="str" cm="1">
        <f t="array" ref="D49">IF(Working!$A49="","",INDEX(Working!$A$2:INDEX(Working!$A:$A, MATCH("zzz", Working!$A:$A)), MOD(ROW()-ROW(D$2)+D$1, COUNTA(Working!$A$2:INDEX(Working!$A:$A, MATCH("zzz", Working!$A:$A)))) + 1))</f>
        <v/>
      </c>
      <c r="E49" t="str" cm="1">
        <f t="array" ref="E49">IF(Working!$A49="","",INDEX(Working!$A$2:INDEX(Working!$A:$A, MATCH("zzz", Working!$A:$A)), MOD(ROW()-ROW(E$2)+E$1, COUNTA(Working!$A$2:INDEX(Working!$A:$A, MATCH("zzz", Working!$A:$A)))) + 1))</f>
        <v/>
      </c>
      <c r="F49" t="str" cm="1">
        <f t="array" ref="F49">IF(Working!$A49="","",INDEX(Working!$A$2:INDEX(Working!$A:$A, MATCH("zzz", Working!$A:$A)), MOD(ROW()-ROW(F$2)+F$1, COUNTA(Working!$A$2:INDEX(Working!$A:$A, MATCH("zzz", Working!$A:$A)))) + 1))</f>
        <v/>
      </c>
      <c r="G49" t="str" cm="1">
        <f t="array" ref="G49">IF(Working!$A49="","",INDEX(Working!$A$2:INDEX(Working!$A:$A, MATCH("zzz", Working!$A:$A)), MOD(ROW()-ROW(G$2)+G$1, COUNTA(Working!$A$2:INDEX(Working!$A:$A, MATCH("zzz", Working!$A:$A)))) + 1))</f>
        <v/>
      </c>
      <c r="H49" t="str" cm="1">
        <f t="array" ref="H49">IF(Working!$A49="","",INDEX(Working!$A$2:INDEX(Working!$A:$A, MATCH("zzz", Working!$A:$A)), MOD(ROW()-ROW(H$2)+H$1, COUNTA(Working!$A$2:INDEX(Working!$A:$A, MATCH("zzz", Working!$A:$A)))) + 1))</f>
        <v/>
      </c>
      <c r="I49" t="str" cm="1">
        <f t="array" ref="I49">IF(Working!$A49="","",INDEX(Working!$A$2:INDEX(Working!$A:$A, MATCH("zzz", Working!$A:$A)), MOD(ROW()-ROW(I$2)+I$1, COUNTA(Working!$A$2:INDEX(Working!$A:$A, MATCH("zzz", Working!$A:$A)))) + 1))</f>
        <v/>
      </c>
      <c r="J49" t="str" cm="1">
        <f t="array" ref="J49">IF(Working!$A49="","",INDEX(Working!$A$2:INDEX(Working!$A:$A, MATCH("zzz", Working!$A:$A)), MOD(ROW()-ROW(J$2)+J$1, COUNTA(Working!$A$2:INDEX(Working!$A:$A, MATCH("zzz", Working!$A:$A)))) + 1))</f>
        <v/>
      </c>
      <c r="K49" t="str" cm="1">
        <f t="array" ref="K49">IF(Working!$A49="","",INDEX(Working!$A$2:INDEX(Working!$A:$A, MATCH("zzz", Working!$A:$A)), MOD(ROW()-ROW(K$2)+K$1, COUNTA(Working!$A$2:INDEX(Working!$A:$A, MATCH("zzz", Working!$A:$A)))) + 1))</f>
        <v/>
      </c>
      <c r="L49" t="str" cm="1">
        <f t="array" ref="L49">IF(Working!$A49="","",INDEX(Working!$A$2:INDEX(Working!$A:$A, MATCH("zzz", Working!$A:$A)), MOD(ROW()-ROW(L$2)+L$1, COUNTA(Working!$A$2:INDEX(Working!$A:$A, MATCH("zzz", Working!$A:$A)))) + 1))</f>
        <v/>
      </c>
    </row>
    <row r="50" spans="3:12" ht="15.75" customHeight="1" x14ac:dyDescent="0.2">
      <c r="C50" t="str" cm="1">
        <f t="array" ref="C50">IF(Working!$A50="","",INDEX(Working!$A$2:INDEX(Working!$A:$A, MATCH("zzz", Working!$A:$A)), MOD(ROW()-ROW(C$2)+C$1, COUNTA(Working!$A$2:INDEX(Working!$A:$A, MATCH("zzz", Working!$A:$A)))) + 1))</f>
        <v/>
      </c>
      <c r="D50" t="str" cm="1">
        <f t="array" ref="D50">IF(Working!$A50="","",INDEX(Working!$A$2:INDEX(Working!$A:$A, MATCH("zzz", Working!$A:$A)), MOD(ROW()-ROW(D$2)+D$1, COUNTA(Working!$A$2:INDEX(Working!$A:$A, MATCH("zzz", Working!$A:$A)))) + 1))</f>
        <v/>
      </c>
      <c r="E50" t="str" cm="1">
        <f t="array" ref="E50">IF(Working!$A50="","",INDEX(Working!$A$2:INDEX(Working!$A:$A, MATCH("zzz", Working!$A:$A)), MOD(ROW()-ROW(E$2)+E$1, COUNTA(Working!$A$2:INDEX(Working!$A:$A, MATCH("zzz", Working!$A:$A)))) + 1))</f>
        <v/>
      </c>
      <c r="F50" t="str" cm="1">
        <f t="array" ref="F50">IF(Working!$A50="","",INDEX(Working!$A$2:INDEX(Working!$A:$A, MATCH("zzz", Working!$A:$A)), MOD(ROW()-ROW(F$2)+F$1, COUNTA(Working!$A$2:INDEX(Working!$A:$A, MATCH("zzz", Working!$A:$A)))) + 1))</f>
        <v/>
      </c>
      <c r="G50" t="str" cm="1">
        <f t="array" ref="G50">IF(Working!$A50="","",INDEX(Working!$A$2:INDEX(Working!$A:$A, MATCH("zzz", Working!$A:$A)), MOD(ROW()-ROW(G$2)+G$1, COUNTA(Working!$A$2:INDEX(Working!$A:$A, MATCH("zzz", Working!$A:$A)))) + 1))</f>
        <v/>
      </c>
      <c r="H50" t="str" cm="1">
        <f t="array" ref="H50">IF(Working!$A50="","",INDEX(Working!$A$2:INDEX(Working!$A:$A, MATCH("zzz", Working!$A:$A)), MOD(ROW()-ROW(H$2)+H$1, COUNTA(Working!$A$2:INDEX(Working!$A:$A, MATCH("zzz", Working!$A:$A)))) + 1))</f>
        <v/>
      </c>
      <c r="I50" t="str" cm="1">
        <f t="array" ref="I50">IF(Working!$A50="","",INDEX(Working!$A$2:INDEX(Working!$A:$A, MATCH("zzz", Working!$A:$A)), MOD(ROW()-ROW(I$2)+I$1, COUNTA(Working!$A$2:INDEX(Working!$A:$A, MATCH("zzz", Working!$A:$A)))) + 1))</f>
        <v/>
      </c>
      <c r="J50" t="str" cm="1">
        <f t="array" ref="J50">IF(Working!$A50="","",INDEX(Working!$A$2:INDEX(Working!$A:$A, MATCH("zzz", Working!$A:$A)), MOD(ROW()-ROW(J$2)+J$1, COUNTA(Working!$A$2:INDEX(Working!$A:$A, MATCH("zzz", Working!$A:$A)))) + 1))</f>
        <v/>
      </c>
      <c r="K50" t="str" cm="1">
        <f t="array" ref="K50">IF(Working!$A50="","",INDEX(Working!$A$2:INDEX(Working!$A:$A, MATCH("zzz", Working!$A:$A)), MOD(ROW()-ROW(K$2)+K$1, COUNTA(Working!$A$2:INDEX(Working!$A:$A, MATCH("zzz", Working!$A:$A)))) + 1))</f>
        <v/>
      </c>
      <c r="L50" t="str" cm="1">
        <f t="array" ref="L50">IF(Working!$A50="","",INDEX(Working!$A$2:INDEX(Working!$A:$A, MATCH("zzz", Working!$A:$A)), MOD(ROW()-ROW(L$2)+L$1, COUNTA(Working!$A$2:INDEX(Working!$A:$A, MATCH("zzz", Working!$A:$A)))) + 1))</f>
        <v/>
      </c>
    </row>
    <row r="51" spans="3:12" ht="15.75" customHeight="1" x14ac:dyDescent="0.2">
      <c r="C51" t="str" cm="1">
        <f t="array" ref="C51">IF(Working!$A51="","",INDEX(Working!$A$2:INDEX(Working!$A:$A, MATCH("zzz", Working!$A:$A)), MOD(ROW()-ROW(C$2)+C$1, COUNTA(Working!$A$2:INDEX(Working!$A:$A, MATCH("zzz", Working!$A:$A)))) + 1))</f>
        <v/>
      </c>
      <c r="D51" t="str" cm="1">
        <f t="array" ref="D51">IF(Working!$A51="","",INDEX(Working!$A$2:INDEX(Working!$A:$A, MATCH("zzz", Working!$A:$A)), MOD(ROW()-ROW(D$2)+D$1, COUNTA(Working!$A$2:INDEX(Working!$A:$A, MATCH("zzz", Working!$A:$A)))) + 1))</f>
        <v/>
      </c>
      <c r="E51" t="str" cm="1">
        <f t="array" ref="E51">IF(Working!$A51="","",INDEX(Working!$A$2:INDEX(Working!$A:$A, MATCH("zzz", Working!$A:$A)), MOD(ROW()-ROW(E$2)+E$1, COUNTA(Working!$A$2:INDEX(Working!$A:$A, MATCH("zzz", Working!$A:$A)))) + 1))</f>
        <v/>
      </c>
      <c r="F51" t="str" cm="1">
        <f t="array" ref="F51">IF(Working!$A51="","",INDEX(Working!$A$2:INDEX(Working!$A:$A, MATCH("zzz", Working!$A:$A)), MOD(ROW()-ROW(F$2)+F$1, COUNTA(Working!$A$2:INDEX(Working!$A:$A, MATCH("zzz", Working!$A:$A)))) + 1))</f>
        <v/>
      </c>
      <c r="G51" t="str" cm="1">
        <f t="array" ref="G51">IF(Working!$A51="","",INDEX(Working!$A$2:INDEX(Working!$A:$A, MATCH("zzz", Working!$A:$A)), MOD(ROW()-ROW(G$2)+G$1, COUNTA(Working!$A$2:INDEX(Working!$A:$A, MATCH("zzz", Working!$A:$A)))) + 1))</f>
        <v/>
      </c>
      <c r="H51" t="str" cm="1">
        <f t="array" ref="H51">IF(Working!$A51="","",INDEX(Working!$A$2:INDEX(Working!$A:$A, MATCH("zzz", Working!$A:$A)), MOD(ROW()-ROW(H$2)+H$1, COUNTA(Working!$A$2:INDEX(Working!$A:$A, MATCH("zzz", Working!$A:$A)))) + 1))</f>
        <v/>
      </c>
      <c r="I51" t="str" cm="1">
        <f t="array" ref="I51">IF(Working!$A51="","",INDEX(Working!$A$2:INDEX(Working!$A:$A, MATCH("zzz", Working!$A:$A)), MOD(ROW()-ROW(I$2)+I$1, COUNTA(Working!$A$2:INDEX(Working!$A:$A, MATCH("zzz", Working!$A:$A)))) + 1))</f>
        <v/>
      </c>
      <c r="J51" t="str" cm="1">
        <f t="array" ref="J51">IF(Working!$A51="","",INDEX(Working!$A$2:INDEX(Working!$A:$A, MATCH("zzz", Working!$A:$A)), MOD(ROW()-ROW(J$2)+J$1, COUNTA(Working!$A$2:INDEX(Working!$A:$A, MATCH("zzz", Working!$A:$A)))) + 1))</f>
        <v/>
      </c>
      <c r="K51" t="str" cm="1">
        <f t="array" ref="K51">IF(Working!$A51="","",INDEX(Working!$A$2:INDEX(Working!$A:$A, MATCH("zzz", Working!$A:$A)), MOD(ROW()-ROW(K$2)+K$1, COUNTA(Working!$A$2:INDEX(Working!$A:$A, MATCH("zzz", Working!$A:$A)))) + 1))</f>
        <v/>
      </c>
      <c r="L51" t="str" cm="1">
        <f t="array" ref="L51">IF(Working!$A51="","",INDEX(Working!$A$2:INDEX(Working!$A:$A, MATCH("zzz", Working!$A:$A)), MOD(ROW()-ROW(L$2)+L$1, COUNTA(Working!$A$2:INDEX(Working!$A:$A, MATCH("zzz", Working!$A:$A)))) + 1))</f>
        <v/>
      </c>
    </row>
    <row r="52" spans="3:12" ht="15.75" customHeight="1" x14ac:dyDescent="0.2">
      <c r="C52" t="str" cm="1">
        <f t="array" ref="C52">IF(Working!$A52="","",INDEX(Working!$A$2:INDEX(Working!$A:$A, MATCH("zzz", Working!$A:$A)), MOD(ROW()-ROW(C$2)+C$1, COUNTA(Working!$A$2:INDEX(Working!$A:$A, MATCH("zzz", Working!$A:$A)))) + 1))</f>
        <v/>
      </c>
      <c r="D52" t="str" cm="1">
        <f t="array" ref="D52">IF(Working!$A52="","",INDEX(Working!$A$2:INDEX(Working!$A:$A, MATCH("zzz", Working!$A:$A)), MOD(ROW()-ROW(D$2)+D$1, COUNTA(Working!$A$2:INDEX(Working!$A:$A, MATCH("zzz", Working!$A:$A)))) + 1))</f>
        <v/>
      </c>
      <c r="E52" t="str" cm="1">
        <f t="array" ref="E52">IF(Working!$A52="","",INDEX(Working!$A$2:INDEX(Working!$A:$A, MATCH("zzz", Working!$A:$A)), MOD(ROW()-ROW(E$2)+E$1, COUNTA(Working!$A$2:INDEX(Working!$A:$A, MATCH("zzz", Working!$A:$A)))) + 1))</f>
        <v/>
      </c>
      <c r="F52" t="str" cm="1">
        <f t="array" ref="F52">IF(Working!$A52="","",INDEX(Working!$A$2:INDEX(Working!$A:$A, MATCH("zzz", Working!$A:$A)), MOD(ROW()-ROW(F$2)+F$1, COUNTA(Working!$A$2:INDEX(Working!$A:$A, MATCH("zzz", Working!$A:$A)))) + 1))</f>
        <v/>
      </c>
      <c r="G52" t="str" cm="1">
        <f t="array" ref="G52">IF(Working!$A52="","",INDEX(Working!$A$2:INDEX(Working!$A:$A, MATCH("zzz", Working!$A:$A)), MOD(ROW()-ROW(G$2)+G$1, COUNTA(Working!$A$2:INDEX(Working!$A:$A, MATCH("zzz", Working!$A:$A)))) + 1))</f>
        <v/>
      </c>
      <c r="H52" t="str" cm="1">
        <f t="array" ref="H52">IF(Working!$A52="","",INDEX(Working!$A$2:INDEX(Working!$A:$A, MATCH("zzz", Working!$A:$A)), MOD(ROW()-ROW(H$2)+H$1, COUNTA(Working!$A$2:INDEX(Working!$A:$A, MATCH("zzz", Working!$A:$A)))) + 1))</f>
        <v/>
      </c>
      <c r="I52" t="str" cm="1">
        <f t="array" ref="I52">IF(Working!$A52="","",INDEX(Working!$A$2:INDEX(Working!$A:$A, MATCH("zzz", Working!$A:$A)), MOD(ROW()-ROW(I$2)+I$1, COUNTA(Working!$A$2:INDEX(Working!$A:$A, MATCH("zzz", Working!$A:$A)))) + 1))</f>
        <v/>
      </c>
      <c r="J52" t="str" cm="1">
        <f t="array" ref="J52">IF(Working!$A52="","",INDEX(Working!$A$2:INDEX(Working!$A:$A, MATCH("zzz", Working!$A:$A)), MOD(ROW()-ROW(J$2)+J$1, COUNTA(Working!$A$2:INDEX(Working!$A:$A, MATCH("zzz", Working!$A:$A)))) + 1))</f>
        <v/>
      </c>
      <c r="K52" t="str" cm="1">
        <f t="array" ref="K52">IF(Working!$A52="","",INDEX(Working!$A$2:INDEX(Working!$A:$A, MATCH("zzz", Working!$A:$A)), MOD(ROW()-ROW(K$2)+K$1, COUNTA(Working!$A$2:INDEX(Working!$A:$A, MATCH("zzz", Working!$A:$A)))) + 1))</f>
        <v/>
      </c>
      <c r="L52" t="str" cm="1">
        <f t="array" ref="L52">IF(Working!$A52="","",INDEX(Working!$A$2:INDEX(Working!$A:$A, MATCH("zzz", Working!$A:$A)), MOD(ROW()-ROW(L$2)+L$1, COUNTA(Working!$A$2:INDEX(Working!$A:$A, MATCH("zzz", Working!$A:$A)))) + 1))</f>
        <v/>
      </c>
    </row>
    <row r="53" spans="3:12" ht="15.75" customHeight="1" x14ac:dyDescent="0.2">
      <c r="C53" t="str" cm="1">
        <f t="array" ref="C53">IF(Working!$A53="","",INDEX(Working!$A$2:INDEX(Working!$A:$A, MATCH("zzz", Working!$A:$A)), MOD(ROW()-ROW(C$2)+C$1, COUNTA(Working!$A$2:INDEX(Working!$A:$A, MATCH("zzz", Working!$A:$A)))) + 1))</f>
        <v/>
      </c>
      <c r="D53" t="str" cm="1">
        <f t="array" ref="D53">IF(Working!$A53="","",INDEX(Working!$A$2:INDEX(Working!$A:$A, MATCH("zzz", Working!$A:$A)), MOD(ROW()-ROW(D$2)+D$1, COUNTA(Working!$A$2:INDEX(Working!$A:$A, MATCH("zzz", Working!$A:$A)))) + 1))</f>
        <v/>
      </c>
      <c r="E53" t="str" cm="1">
        <f t="array" ref="E53">IF(Working!$A53="","",INDEX(Working!$A$2:INDEX(Working!$A:$A, MATCH("zzz", Working!$A:$A)), MOD(ROW()-ROW(E$2)+E$1, COUNTA(Working!$A$2:INDEX(Working!$A:$A, MATCH("zzz", Working!$A:$A)))) + 1))</f>
        <v/>
      </c>
      <c r="F53" t="str" cm="1">
        <f t="array" ref="F53">IF(Working!$A53="","",INDEX(Working!$A$2:INDEX(Working!$A:$A, MATCH("zzz", Working!$A:$A)), MOD(ROW()-ROW(F$2)+F$1, COUNTA(Working!$A$2:INDEX(Working!$A:$A, MATCH("zzz", Working!$A:$A)))) + 1))</f>
        <v/>
      </c>
      <c r="G53" t="str" cm="1">
        <f t="array" ref="G53">IF(Working!$A53="","",INDEX(Working!$A$2:INDEX(Working!$A:$A, MATCH("zzz", Working!$A:$A)), MOD(ROW()-ROW(G$2)+G$1, COUNTA(Working!$A$2:INDEX(Working!$A:$A, MATCH("zzz", Working!$A:$A)))) + 1))</f>
        <v/>
      </c>
      <c r="H53" t="str" cm="1">
        <f t="array" ref="H53">IF(Working!$A53="","",INDEX(Working!$A$2:INDEX(Working!$A:$A, MATCH("zzz", Working!$A:$A)), MOD(ROW()-ROW(H$2)+H$1, COUNTA(Working!$A$2:INDEX(Working!$A:$A, MATCH("zzz", Working!$A:$A)))) + 1))</f>
        <v/>
      </c>
      <c r="I53" t="str" cm="1">
        <f t="array" ref="I53">IF(Working!$A53="","",INDEX(Working!$A$2:INDEX(Working!$A:$A, MATCH("zzz", Working!$A:$A)), MOD(ROW()-ROW(I$2)+I$1, COUNTA(Working!$A$2:INDEX(Working!$A:$A, MATCH("zzz", Working!$A:$A)))) + 1))</f>
        <v/>
      </c>
      <c r="J53" t="str" cm="1">
        <f t="array" ref="J53">IF(Working!$A53="","",INDEX(Working!$A$2:INDEX(Working!$A:$A, MATCH("zzz", Working!$A:$A)), MOD(ROW()-ROW(J$2)+J$1, COUNTA(Working!$A$2:INDEX(Working!$A:$A, MATCH("zzz", Working!$A:$A)))) + 1))</f>
        <v/>
      </c>
      <c r="K53" t="str" cm="1">
        <f t="array" ref="K53">IF(Working!$A53="","",INDEX(Working!$A$2:INDEX(Working!$A:$A, MATCH("zzz", Working!$A:$A)), MOD(ROW()-ROW(K$2)+K$1, COUNTA(Working!$A$2:INDEX(Working!$A:$A, MATCH("zzz", Working!$A:$A)))) + 1))</f>
        <v/>
      </c>
      <c r="L53" t="str" cm="1">
        <f t="array" ref="L53">IF(Working!$A53="","",INDEX(Working!$A$2:INDEX(Working!$A:$A, MATCH("zzz", Working!$A:$A)), MOD(ROW()-ROW(L$2)+L$1, COUNTA(Working!$A$2:INDEX(Working!$A:$A, MATCH("zzz", Working!$A:$A)))) + 1))</f>
        <v/>
      </c>
    </row>
    <row r="54" spans="3:12" ht="15.75" customHeight="1" x14ac:dyDescent="0.2">
      <c r="C54" t="str" cm="1">
        <f t="array" ref="C54">IF(Working!$A54="","",INDEX(Working!$A$2:INDEX(Working!$A:$A, MATCH("zzz", Working!$A:$A)), MOD(ROW()-ROW(C$2)+C$1, COUNTA(Working!$A$2:INDEX(Working!$A:$A, MATCH("zzz", Working!$A:$A)))) + 1))</f>
        <v/>
      </c>
      <c r="D54" t="str" cm="1">
        <f t="array" ref="D54">IF(Working!$A54="","",INDEX(Working!$A$2:INDEX(Working!$A:$A, MATCH("zzz", Working!$A:$A)), MOD(ROW()-ROW(D$2)+D$1, COUNTA(Working!$A$2:INDEX(Working!$A:$A, MATCH("zzz", Working!$A:$A)))) + 1))</f>
        <v/>
      </c>
      <c r="E54" t="str" cm="1">
        <f t="array" ref="E54">IF(Working!$A54="","",INDEX(Working!$A$2:INDEX(Working!$A:$A, MATCH("zzz", Working!$A:$A)), MOD(ROW()-ROW(E$2)+E$1, COUNTA(Working!$A$2:INDEX(Working!$A:$A, MATCH("zzz", Working!$A:$A)))) + 1))</f>
        <v/>
      </c>
      <c r="F54" t="str" cm="1">
        <f t="array" ref="F54">IF(Working!$A54="","",INDEX(Working!$A$2:INDEX(Working!$A:$A, MATCH("zzz", Working!$A:$A)), MOD(ROW()-ROW(F$2)+F$1, COUNTA(Working!$A$2:INDEX(Working!$A:$A, MATCH("zzz", Working!$A:$A)))) + 1))</f>
        <v/>
      </c>
      <c r="G54" t="str" cm="1">
        <f t="array" ref="G54">IF(Working!$A54="","",INDEX(Working!$A$2:INDEX(Working!$A:$A, MATCH("zzz", Working!$A:$A)), MOD(ROW()-ROW(G$2)+G$1, COUNTA(Working!$A$2:INDEX(Working!$A:$A, MATCH("zzz", Working!$A:$A)))) + 1))</f>
        <v/>
      </c>
      <c r="H54" t="str" cm="1">
        <f t="array" ref="H54">IF(Working!$A54="","",INDEX(Working!$A$2:INDEX(Working!$A:$A, MATCH("zzz", Working!$A:$A)), MOD(ROW()-ROW(H$2)+H$1, COUNTA(Working!$A$2:INDEX(Working!$A:$A, MATCH("zzz", Working!$A:$A)))) + 1))</f>
        <v/>
      </c>
      <c r="I54" t="str" cm="1">
        <f t="array" ref="I54">IF(Working!$A54="","",INDEX(Working!$A$2:INDEX(Working!$A:$A, MATCH("zzz", Working!$A:$A)), MOD(ROW()-ROW(I$2)+I$1, COUNTA(Working!$A$2:INDEX(Working!$A:$A, MATCH("zzz", Working!$A:$A)))) + 1))</f>
        <v/>
      </c>
      <c r="J54" t="str" cm="1">
        <f t="array" ref="J54">IF(Working!$A54="","",INDEX(Working!$A$2:INDEX(Working!$A:$A, MATCH("zzz", Working!$A:$A)), MOD(ROW()-ROW(J$2)+J$1, COUNTA(Working!$A$2:INDEX(Working!$A:$A, MATCH("zzz", Working!$A:$A)))) + 1))</f>
        <v/>
      </c>
      <c r="K54" t="str" cm="1">
        <f t="array" ref="K54">IF(Working!$A54="","",INDEX(Working!$A$2:INDEX(Working!$A:$A, MATCH("zzz", Working!$A:$A)), MOD(ROW()-ROW(K$2)+K$1, COUNTA(Working!$A$2:INDEX(Working!$A:$A, MATCH("zzz", Working!$A:$A)))) + 1))</f>
        <v/>
      </c>
      <c r="L54" t="str" cm="1">
        <f t="array" ref="L54">IF(Working!$A54="","",INDEX(Working!$A$2:INDEX(Working!$A:$A, MATCH("zzz", Working!$A:$A)), MOD(ROW()-ROW(L$2)+L$1, COUNTA(Working!$A$2:INDEX(Working!$A:$A, MATCH("zzz", Working!$A:$A)))) + 1))</f>
        <v/>
      </c>
    </row>
    <row r="55" spans="3:12" ht="15.75" customHeight="1" x14ac:dyDescent="0.2">
      <c r="C55" t="str" cm="1">
        <f t="array" ref="C55">IF(Working!$A55="","",INDEX(Working!$A$2:INDEX(Working!$A:$A, MATCH("zzz", Working!$A:$A)), MOD(ROW()-ROW(C$2)+C$1, COUNTA(Working!$A$2:INDEX(Working!$A:$A, MATCH("zzz", Working!$A:$A)))) + 1))</f>
        <v/>
      </c>
      <c r="D55" t="str" cm="1">
        <f t="array" ref="D55">IF(Working!$A55="","",INDEX(Working!$A$2:INDEX(Working!$A:$A, MATCH("zzz", Working!$A:$A)), MOD(ROW()-ROW(D$2)+D$1, COUNTA(Working!$A$2:INDEX(Working!$A:$A, MATCH("zzz", Working!$A:$A)))) + 1))</f>
        <v/>
      </c>
      <c r="E55" t="str" cm="1">
        <f t="array" ref="E55">IF(Working!$A55="","",INDEX(Working!$A$2:INDEX(Working!$A:$A, MATCH("zzz", Working!$A:$A)), MOD(ROW()-ROW(E$2)+E$1, COUNTA(Working!$A$2:INDEX(Working!$A:$A, MATCH("zzz", Working!$A:$A)))) + 1))</f>
        <v/>
      </c>
      <c r="F55" t="str" cm="1">
        <f t="array" ref="F55">IF(Working!$A55="","",INDEX(Working!$A$2:INDEX(Working!$A:$A, MATCH("zzz", Working!$A:$A)), MOD(ROW()-ROW(F$2)+F$1, COUNTA(Working!$A$2:INDEX(Working!$A:$A, MATCH("zzz", Working!$A:$A)))) + 1))</f>
        <v/>
      </c>
      <c r="G55" t="str" cm="1">
        <f t="array" ref="G55">IF(Working!$A55="","",INDEX(Working!$A$2:INDEX(Working!$A:$A, MATCH("zzz", Working!$A:$A)), MOD(ROW()-ROW(G$2)+G$1, COUNTA(Working!$A$2:INDEX(Working!$A:$A, MATCH("zzz", Working!$A:$A)))) + 1))</f>
        <v/>
      </c>
      <c r="H55" t="str" cm="1">
        <f t="array" ref="H55">IF(Working!$A55="","",INDEX(Working!$A$2:INDEX(Working!$A:$A, MATCH("zzz", Working!$A:$A)), MOD(ROW()-ROW(H$2)+H$1, COUNTA(Working!$A$2:INDEX(Working!$A:$A, MATCH("zzz", Working!$A:$A)))) + 1))</f>
        <v/>
      </c>
      <c r="I55" t="str" cm="1">
        <f t="array" ref="I55">IF(Working!$A55="","",INDEX(Working!$A$2:INDEX(Working!$A:$A, MATCH("zzz", Working!$A:$A)), MOD(ROW()-ROW(I$2)+I$1, COUNTA(Working!$A$2:INDEX(Working!$A:$A, MATCH("zzz", Working!$A:$A)))) + 1))</f>
        <v/>
      </c>
      <c r="J55" t="str" cm="1">
        <f t="array" ref="J55">IF(Working!$A55="","",INDEX(Working!$A$2:INDEX(Working!$A:$A, MATCH("zzz", Working!$A:$A)), MOD(ROW()-ROW(J$2)+J$1, COUNTA(Working!$A$2:INDEX(Working!$A:$A, MATCH("zzz", Working!$A:$A)))) + 1))</f>
        <v/>
      </c>
      <c r="K55" t="str" cm="1">
        <f t="array" ref="K55">IF(Working!$A55="","",INDEX(Working!$A$2:INDEX(Working!$A:$A, MATCH("zzz", Working!$A:$A)), MOD(ROW()-ROW(K$2)+K$1, COUNTA(Working!$A$2:INDEX(Working!$A:$A, MATCH("zzz", Working!$A:$A)))) + 1))</f>
        <v/>
      </c>
      <c r="L55" t="str" cm="1">
        <f t="array" ref="L55">IF(Working!$A55="","",INDEX(Working!$A$2:INDEX(Working!$A:$A, MATCH("zzz", Working!$A:$A)), MOD(ROW()-ROW(L$2)+L$1, COUNTA(Working!$A$2:INDEX(Working!$A:$A, MATCH("zzz", Working!$A:$A)))) + 1))</f>
        <v/>
      </c>
    </row>
    <row r="56" spans="3:12" ht="15.75" customHeight="1" x14ac:dyDescent="0.2">
      <c r="C56" t="str" cm="1">
        <f t="array" ref="C56">IF(Working!$A56="","",INDEX(Working!$A$2:INDEX(Working!$A:$A, MATCH("zzz", Working!$A:$A)), MOD(ROW()-ROW(C$2)+C$1, COUNTA(Working!$A$2:INDEX(Working!$A:$A, MATCH("zzz", Working!$A:$A)))) + 1))</f>
        <v/>
      </c>
      <c r="D56" t="str" cm="1">
        <f t="array" ref="D56">IF(Working!$A56="","",INDEX(Working!$A$2:INDEX(Working!$A:$A, MATCH("zzz", Working!$A:$A)), MOD(ROW()-ROW(D$2)+D$1, COUNTA(Working!$A$2:INDEX(Working!$A:$A, MATCH("zzz", Working!$A:$A)))) + 1))</f>
        <v/>
      </c>
      <c r="E56" t="str" cm="1">
        <f t="array" ref="E56">IF(Working!$A56="","",INDEX(Working!$A$2:INDEX(Working!$A:$A, MATCH("zzz", Working!$A:$A)), MOD(ROW()-ROW(E$2)+E$1, COUNTA(Working!$A$2:INDEX(Working!$A:$A, MATCH("zzz", Working!$A:$A)))) + 1))</f>
        <v/>
      </c>
      <c r="F56" t="str" cm="1">
        <f t="array" ref="F56">IF(Working!$A56="","",INDEX(Working!$A$2:INDEX(Working!$A:$A, MATCH("zzz", Working!$A:$A)), MOD(ROW()-ROW(F$2)+F$1, COUNTA(Working!$A$2:INDEX(Working!$A:$A, MATCH("zzz", Working!$A:$A)))) + 1))</f>
        <v/>
      </c>
      <c r="G56" t="str" cm="1">
        <f t="array" ref="G56">IF(Working!$A56="","",INDEX(Working!$A$2:INDEX(Working!$A:$A, MATCH("zzz", Working!$A:$A)), MOD(ROW()-ROW(G$2)+G$1, COUNTA(Working!$A$2:INDEX(Working!$A:$A, MATCH("zzz", Working!$A:$A)))) + 1))</f>
        <v/>
      </c>
      <c r="H56" t="str" cm="1">
        <f t="array" ref="H56">IF(Working!$A56="","",INDEX(Working!$A$2:INDEX(Working!$A:$A, MATCH("zzz", Working!$A:$A)), MOD(ROW()-ROW(H$2)+H$1, COUNTA(Working!$A$2:INDEX(Working!$A:$A, MATCH("zzz", Working!$A:$A)))) + 1))</f>
        <v/>
      </c>
      <c r="I56" t="str" cm="1">
        <f t="array" ref="I56">IF(Working!$A56="","",INDEX(Working!$A$2:INDEX(Working!$A:$A, MATCH("zzz", Working!$A:$A)), MOD(ROW()-ROW(I$2)+I$1, COUNTA(Working!$A$2:INDEX(Working!$A:$A, MATCH("zzz", Working!$A:$A)))) + 1))</f>
        <v/>
      </c>
      <c r="J56" t="str" cm="1">
        <f t="array" ref="J56">IF(Working!$A56="","",INDEX(Working!$A$2:INDEX(Working!$A:$A, MATCH("zzz", Working!$A:$A)), MOD(ROW()-ROW(J$2)+J$1, COUNTA(Working!$A$2:INDEX(Working!$A:$A, MATCH("zzz", Working!$A:$A)))) + 1))</f>
        <v/>
      </c>
      <c r="K56" t="str" cm="1">
        <f t="array" ref="K56">IF(Working!$A56="","",INDEX(Working!$A$2:INDEX(Working!$A:$A, MATCH("zzz", Working!$A:$A)), MOD(ROW()-ROW(K$2)+K$1, COUNTA(Working!$A$2:INDEX(Working!$A:$A, MATCH("zzz", Working!$A:$A)))) + 1))</f>
        <v/>
      </c>
      <c r="L56" t="str" cm="1">
        <f t="array" ref="L56">IF(Working!$A56="","",INDEX(Working!$A$2:INDEX(Working!$A:$A, MATCH("zzz", Working!$A:$A)), MOD(ROW()-ROW(L$2)+L$1, COUNTA(Working!$A$2:INDEX(Working!$A:$A, MATCH("zzz", Working!$A:$A)))) + 1))</f>
        <v/>
      </c>
    </row>
    <row r="57" spans="3:12" ht="15.75" customHeight="1" x14ac:dyDescent="0.2">
      <c r="C57" t="str" cm="1">
        <f t="array" ref="C57">IF(Working!$A57="","",INDEX(Working!$A$2:INDEX(Working!$A:$A, MATCH("zzz", Working!$A:$A)), MOD(ROW()-ROW(C$2)+C$1, COUNTA(Working!$A$2:INDEX(Working!$A:$A, MATCH("zzz", Working!$A:$A)))) + 1))</f>
        <v/>
      </c>
      <c r="D57" t="str" cm="1">
        <f t="array" ref="D57">IF(Working!$A57="","",INDEX(Working!$A$2:INDEX(Working!$A:$A, MATCH("zzz", Working!$A:$A)), MOD(ROW()-ROW(D$2)+D$1, COUNTA(Working!$A$2:INDEX(Working!$A:$A, MATCH("zzz", Working!$A:$A)))) + 1))</f>
        <v/>
      </c>
      <c r="E57" t="str" cm="1">
        <f t="array" ref="E57">IF(Working!$A57="","",INDEX(Working!$A$2:INDEX(Working!$A:$A, MATCH("zzz", Working!$A:$A)), MOD(ROW()-ROW(E$2)+E$1, COUNTA(Working!$A$2:INDEX(Working!$A:$A, MATCH("zzz", Working!$A:$A)))) + 1))</f>
        <v/>
      </c>
      <c r="F57" t="str" cm="1">
        <f t="array" ref="F57">IF(Working!$A57="","",INDEX(Working!$A$2:INDEX(Working!$A:$A, MATCH("zzz", Working!$A:$A)), MOD(ROW()-ROW(F$2)+F$1, COUNTA(Working!$A$2:INDEX(Working!$A:$A, MATCH("zzz", Working!$A:$A)))) + 1))</f>
        <v/>
      </c>
      <c r="G57" t="str" cm="1">
        <f t="array" ref="G57">IF(Working!$A57="","",INDEX(Working!$A$2:INDEX(Working!$A:$A, MATCH("zzz", Working!$A:$A)), MOD(ROW()-ROW(G$2)+G$1, COUNTA(Working!$A$2:INDEX(Working!$A:$A, MATCH("zzz", Working!$A:$A)))) + 1))</f>
        <v/>
      </c>
      <c r="H57" t="str" cm="1">
        <f t="array" ref="H57">IF(Working!$A57="","",INDEX(Working!$A$2:INDEX(Working!$A:$A, MATCH("zzz", Working!$A:$A)), MOD(ROW()-ROW(H$2)+H$1, COUNTA(Working!$A$2:INDEX(Working!$A:$A, MATCH("zzz", Working!$A:$A)))) + 1))</f>
        <v/>
      </c>
      <c r="I57" t="str" cm="1">
        <f t="array" ref="I57">IF(Working!$A57="","",INDEX(Working!$A$2:INDEX(Working!$A:$A, MATCH("zzz", Working!$A:$A)), MOD(ROW()-ROW(I$2)+I$1, COUNTA(Working!$A$2:INDEX(Working!$A:$A, MATCH("zzz", Working!$A:$A)))) + 1))</f>
        <v/>
      </c>
      <c r="J57" t="str" cm="1">
        <f t="array" ref="J57">IF(Working!$A57="","",INDEX(Working!$A$2:INDEX(Working!$A:$A, MATCH("zzz", Working!$A:$A)), MOD(ROW()-ROW(J$2)+J$1, COUNTA(Working!$A$2:INDEX(Working!$A:$A, MATCH("zzz", Working!$A:$A)))) + 1))</f>
        <v/>
      </c>
      <c r="K57" t="str" cm="1">
        <f t="array" ref="K57">IF(Working!$A57="","",INDEX(Working!$A$2:INDEX(Working!$A:$A, MATCH("zzz", Working!$A:$A)), MOD(ROW()-ROW(K$2)+K$1, COUNTA(Working!$A$2:INDEX(Working!$A:$A, MATCH("zzz", Working!$A:$A)))) + 1))</f>
        <v/>
      </c>
      <c r="L57" t="str" cm="1">
        <f t="array" ref="L57">IF(Working!$A57="","",INDEX(Working!$A$2:INDEX(Working!$A:$A, MATCH("zzz", Working!$A:$A)), MOD(ROW()-ROW(L$2)+L$1, COUNTA(Working!$A$2:INDEX(Working!$A:$A, MATCH("zzz", Working!$A:$A)))) + 1))</f>
        <v/>
      </c>
    </row>
    <row r="58" spans="3:12" ht="15.75" customHeight="1" x14ac:dyDescent="0.2">
      <c r="C58" t="str" cm="1">
        <f t="array" ref="C58">IF(Working!$A58="","",INDEX(Working!$A$2:INDEX(Working!$A:$A, MATCH("zzz", Working!$A:$A)), MOD(ROW()-ROW(C$2)+C$1, COUNTA(Working!$A$2:INDEX(Working!$A:$A, MATCH("zzz", Working!$A:$A)))) + 1))</f>
        <v/>
      </c>
      <c r="D58" t="str" cm="1">
        <f t="array" ref="D58">IF(Working!$A58="","",INDEX(Working!$A$2:INDEX(Working!$A:$A, MATCH("zzz", Working!$A:$A)), MOD(ROW()-ROW(D$2)+D$1, COUNTA(Working!$A$2:INDEX(Working!$A:$A, MATCH("zzz", Working!$A:$A)))) + 1))</f>
        <v/>
      </c>
      <c r="E58" t="str" cm="1">
        <f t="array" ref="E58">IF(Working!$A58="","",INDEX(Working!$A$2:INDEX(Working!$A:$A, MATCH("zzz", Working!$A:$A)), MOD(ROW()-ROW(E$2)+E$1, COUNTA(Working!$A$2:INDEX(Working!$A:$A, MATCH("zzz", Working!$A:$A)))) + 1))</f>
        <v/>
      </c>
      <c r="F58" t="str" cm="1">
        <f t="array" ref="F58">IF(Working!$A58="","",INDEX(Working!$A$2:INDEX(Working!$A:$A, MATCH("zzz", Working!$A:$A)), MOD(ROW()-ROW(F$2)+F$1, COUNTA(Working!$A$2:INDEX(Working!$A:$A, MATCH("zzz", Working!$A:$A)))) + 1))</f>
        <v/>
      </c>
      <c r="G58" t="str" cm="1">
        <f t="array" ref="G58">IF(Working!$A58="","",INDEX(Working!$A$2:INDEX(Working!$A:$A, MATCH("zzz", Working!$A:$A)), MOD(ROW()-ROW(G$2)+G$1, COUNTA(Working!$A$2:INDEX(Working!$A:$A, MATCH("zzz", Working!$A:$A)))) + 1))</f>
        <v/>
      </c>
      <c r="H58" t="str" cm="1">
        <f t="array" ref="H58">IF(Working!$A58="","",INDEX(Working!$A$2:INDEX(Working!$A:$A, MATCH("zzz", Working!$A:$A)), MOD(ROW()-ROW(H$2)+H$1, COUNTA(Working!$A$2:INDEX(Working!$A:$A, MATCH("zzz", Working!$A:$A)))) + 1))</f>
        <v/>
      </c>
      <c r="I58" t="str" cm="1">
        <f t="array" ref="I58">IF(Working!$A58="","",INDEX(Working!$A$2:INDEX(Working!$A:$A, MATCH("zzz", Working!$A:$A)), MOD(ROW()-ROW(I$2)+I$1, COUNTA(Working!$A$2:INDEX(Working!$A:$A, MATCH("zzz", Working!$A:$A)))) + 1))</f>
        <v/>
      </c>
      <c r="J58" t="str" cm="1">
        <f t="array" ref="J58">IF(Working!$A58="","",INDEX(Working!$A$2:INDEX(Working!$A:$A, MATCH("zzz", Working!$A:$A)), MOD(ROW()-ROW(J$2)+J$1, COUNTA(Working!$A$2:INDEX(Working!$A:$A, MATCH("zzz", Working!$A:$A)))) + 1))</f>
        <v/>
      </c>
      <c r="K58" t="str" cm="1">
        <f t="array" ref="K58">IF(Working!$A58="","",INDEX(Working!$A$2:INDEX(Working!$A:$A, MATCH("zzz", Working!$A:$A)), MOD(ROW()-ROW(K$2)+K$1, COUNTA(Working!$A$2:INDEX(Working!$A:$A, MATCH("zzz", Working!$A:$A)))) + 1))</f>
        <v/>
      </c>
      <c r="L58" t="str" cm="1">
        <f t="array" ref="L58">IF(Working!$A58="","",INDEX(Working!$A$2:INDEX(Working!$A:$A, MATCH("zzz", Working!$A:$A)), MOD(ROW()-ROW(L$2)+L$1, COUNTA(Working!$A$2:INDEX(Working!$A:$A, MATCH("zzz", Working!$A:$A)))) + 1))</f>
        <v/>
      </c>
    </row>
    <row r="59" spans="3:12" ht="15.75" customHeight="1" x14ac:dyDescent="0.2">
      <c r="C59" t="str" cm="1">
        <f t="array" ref="C59">IF(Working!$A59="","",INDEX(Working!$A$2:INDEX(Working!$A:$A, MATCH("zzz", Working!$A:$A)), MOD(ROW()-ROW(C$2)+C$1, COUNTA(Working!$A$2:INDEX(Working!$A:$A, MATCH("zzz", Working!$A:$A)))) + 1))</f>
        <v/>
      </c>
      <c r="D59" t="str" cm="1">
        <f t="array" ref="D59">IF(Working!$A59="","",INDEX(Working!$A$2:INDEX(Working!$A:$A, MATCH("zzz", Working!$A:$A)), MOD(ROW()-ROW(D$2)+D$1, COUNTA(Working!$A$2:INDEX(Working!$A:$A, MATCH("zzz", Working!$A:$A)))) + 1))</f>
        <v/>
      </c>
      <c r="E59" t="str" cm="1">
        <f t="array" ref="E59">IF(Working!$A59="","",INDEX(Working!$A$2:INDEX(Working!$A:$A, MATCH("zzz", Working!$A:$A)), MOD(ROW()-ROW(E$2)+E$1, COUNTA(Working!$A$2:INDEX(Working!$A:$A, MATCH("zzz", Working!$A:$A)))) + 1))</f>
        <v/>
      </c>
      <c r="F59" t="str" cm="1">
        <f t="array" ref="F59">IF(Working!$A59="","",INDEX(Working!$A$2:INDEX(Working!$A:$A, MATCH("zzz", Working!$A:$A)), MOD(ROW()-ROW(F$2)+F$1, COUNTA(Working!$A$2:INDEX(Working!$A:$A, MATCH("zzz", Working!$A:$A)))) + 1))</f>
        <v/>
      </c>
      <c r="G59" t="str" cm="1">
        <f t="array" ref="G59">IF(Working!$A59="","",INDEX(Working!$A$2:INDEX(Working!$A:$A, MATCH("zzz", Working!$A:$A)), MOD(ROW()-ROW(G$2)+G$1, COUNTA(Working!$A$2:INDEX(Working!$A:$A, MATCH("zzz", Working!$A:$A)))) + 1))</f>
        <v/>
      </c>
      <c r="H59" t="str" cm="1">
        <f t="array" ref="H59">IF(Working!$A59="","",INDEX(Working!$A$2:INDEX(Working!$A:$A, MATCH("zzz", Working!$A:$A)), MOD(ROW()-ROW(H$2)+H$1, COUNTA(Working!$A$2:INDEX(Working!$A:$A, MATCH("zzz", Working!$A:$A)))) + 1))</f>
        <v/>
      </c>
      <c r="I59" t="str" cm="1">
        <f t="array" ref="I59">IF(Working!$A59="","",INDEX(Working!$A$2:INDEX(Working!$A:$A, MATCH("zzz", Working!$A:$A)), MOD(ROW()-ROW(I$2)+I$1, COUNTA(Working!$A$2:INDEX(Working!$A:$A, MATCH("zzz", Working!$A:$A)))) + 1))</f>
        <v/>
      </c>
      <c r="J59" t="str" cm="1">
        <f t="array" ref="J59">IF(Working!$A59="","",INDEX(Working!$A$2:INDEX(Working!$A:$A, MATCH("zzz", Working!$A:$A)), MOD(ROW()-ROW(J$2)+J$1, COUNTA(Working!$A$2:INDEX(Working!$A:$A, MATCH("zzz", Working!$A:$A)))) + 1))</f>
        <v/>
      </c>
      <c r="K59" t="str" cm="1">
        <f t="array" ref="K59">IF(Working!$A59="","",INDEX(Working!$A$2:INDEX(Working!$A:$A, MATCH("zzz", Working!$A:$A)), MOD(ROW()-ROW(K$2)+K$1, COUNTA(Working!$A$2:INDEX(Working!$A:$A, MATCH("zzz", Working!$A:$A)))) + 1))</f>
        <v/>
      </c>
      <c r="L59" t="str" cm="1">
        <f t="array" ref="L59">IF(Working!$A59="","",INDEX(Working!$A$2:INDEX(Working!$A:$A, MATCH("zzz", Working!$A:$A)), MOD(ROW()-ROW(L$2)+L$1, COUNTA(Working!$A$2:INDEX(Working!$A:$A, MATCH("zzz", Working!$A:$A)))) + 1))</f>
        <v/>
      </c>
    </row>
    <row r="60" spans="3:12" ht="15.75" customHeight="1" x14ac:dyDescent="0.2">
      <c r="C60" t="str" cm="1">
        <f t="array" ref="C60">IF(Working!$A60="","",INDEX(Working!$A$2:INDEX(Working!$A:$A, MATCH("zzz", Working!$A:$A)), MOD(ROW()-ROW(C$2)+C$1, COUNTA(Working!$A$2:INDEX(Working!$A:$A, MATCH("zzz", Working!$A:$A)))) + 1))</f>
        <v/>
      </c>
      <c r="D60" t="str" cm="1">
        <f t="array" ref="D60">IF(Working!$A60="","",INDEX(Working!$A$2:INDEX(Working!$A:$A, MATCH("zzz", Working!$A:$A)), MOD(ROW()-ROW(D$2)+D$1, COUNTA(Working!$A$2:INDEX(Working!$A:$A, MATCH("zzz", Working!$A:$A)))) + 1))</f>
        <v/>
      </c>
      <c r="E60" t="str" cm="1">
        <f t="array" ref="E60">IF(Working!$A60="","",INDEX(Working!$A$2:INDEX(Working!$A:$A, MATCH("zzz", Working!$A:$A)), MOD(ROW()-ROW(E$2)+E$1, COUNTA(Working!$A$2:INDEX(Working!$A:$A, MATCH("zzz", Working!$A:$A)))) + 1))</f>
        <v/>
      </c>
      <c r="F60" t="str" cm="1">
        <f t="array" ref="F60">IF(Working!$A60="","",INDEX(Working!$A$2:INDEX(Working!$A:$A, MATCH("zzz", Working!$A:$A)), MOD(ROW()-ROW(F$2)+F$1, COUNTA(Working!$A$2:INDEX(Working!$A:$A, MATCH("zzz", Working!$A:$A)))) + 1))</f>
        <v/>
      </c>
      <c r="G60" t="str" cm="1">
        <f t="array" ref="G60">IF(Working!$A60="","",INDEX(Working!$A$2:INDEX(Working!$A:$A, MATCH("zzz", Working!$A:$A)), MOD(ROW()-ROW(G$2)+G$1, COUNTA(Working!$A$2:INDEX(Working!$A:$A, MATCH("zzz", Working!$A:$A)))) + 1))</f>
        <v/>
      </c>
      <c r="H60" t="str" cm="1">
        <f t="array" ref="H60">IF(Working!$A60="","",INDEX(Working!$A$2:INDEX(Working!$A:$A, MATCH("zzz", Working!$A:$A)), MOD(ROW()-ROW(H$2)+H$1, COUNTA(Working!$A$2:INDEX(Working!$A:$A, MATCH("zzz", Working!$A:$A)))) + 1))</f>
        <v/>
      </c>
      <c r="I60" t="str" cm="1">
        <f t="array" ref="I60">IF(Working!$A60="","",INDEX(Working!$A$2:INDEX(Working!$A:$A, MATCH("zzz", Working!$A:$A)), MOD(ROW()-ROW(I$2)+I$1, COUNTA(Working!$A$2:INDEX(Working!$A:$A, MATCH("zzz", Working!$A:$A)))) + 1))</f>
        <v/>
      </c>
      <c r="J60" t="str" cm="1">
        <f t="array" ref="J60">IF(Working!$A60="","",INDEX(Working!$A$2:INDEX(Working!$A:$A, MATCH("zzz", Working!$A:$A)), MOD(ROW()-ROW(J$2)+J$1, COUNTA(Working!$A$2:INDEX(Working!$A:$A, MATCH("zzz", Working!$A:$A)))) + 1))</f>
        <v/>
      </c>
      <c r="K60" t="str" cm="1">
        <f t="array" ref="K60">IF(Working!$A60="","",INDEX(Working!$A$2:INDEX(Working!$A:$A, MATCH("zzz", Working!$A:$A)), MOD(ROW()-ROW(K$2)+K$1, COUNTA(Working!$A$2:INDEX(Working!$A:$A, MATCH("zzz", Working!$A:$A)))) + 1))</f>
        <v/>
      </c>
      <c r="L60" t="str" cm="1">
        <f t="array" ref="L60">IF(Working!$A60="","",INDEX(Working!$A$2:INDEX(Working!$A:$A, MATCH("zzz", Working!$A:$A)), MOD(ROW()-ROW(L$2)+L$1, COUNTA(Working!$A$2:INDEX(Working!$A:$A, MATCH("zzz", Working!$A:$A)))) + 1))</f>
        <v/>
      </c>
    </row>
    <row r="61" spans="3:12" ht="15.75" customHeight="1" x14ac:dyDescent="0.2">
      <c r="C61" t="str" cm="1">
        <f t="array" ref="C61">IF(Working!$A61="","",INDEX(Working!$A$2:INDEX(Working!$A:$A, MATCH("zzz", Working!$A:$A)), MOD(ROW()-ROW(C$2)+C$1, COUNTA(Working!$A$2:INDEX(Working!$A:$A, MATCH("zzz", Working!$A:$A)))) + 1))</f>
        <v/>
      </c>
      <c r="D61" t="str" cm="1">
        <f t="array" ref="D61">IF(Working!$A61="","",INDEX(Working!$A$2:INDEX(Working!$A:$A, MATCH("zzz", Working!$A:$A)), MOD(ROW()-ROW(D$2)+D$1, COUNTA(Working!$A$2:INDEX(Working!$A:$A, MATCH("zzz", Working!$A:$A)))) + 1))</f>
        <v/>
      </c>
      <c r="E61" t="str" cm="1">
        <f t="array" ref="E61">IF(Working!$A61="","",INDEX(Working!$A$2:INDEX(Working!$A:$A, MATCH("zzz", Working!$A:$A)), MOD(ROW()-ROW(E$2)+E$1, COUNTA(Working!$A$2:INDEX(Working!$A:$A, MATCH("zzz", Working!$A:$A)))) + 1))</f>
        <v/>
      </c>
      <c r="F61" t="str" cm="1">
        <f t="array" ref="F61">IF(Working!$A61="","",INDEX(Working!$A$2:INDEX(Working!$A:$A, MATCH("zzz", Working!$A:$A)), MOD(ROW()-ROW(F$2)+F$1, COUNTA(Working!$A$2:INDEX(Working!$A:$A, MATCH("zzz", Working!$A:$A)))) + 1))</f>
        <v/>
      </c>
      <c r="G61" t="str" cm="1">
        <f t="array" ref="G61">IF(Working!$A61="","",INDEX(Working!$A$2:INDEX(Working!$A:$A, MATCH("zzz", Working!$A:$A)), MOD(ROW()-ROW(G$2)+G$1, COUNTA(Working!$A$2:INDEX(Working!$A:$A, MATCH("zzz", Working!$A:$A)))) + 1))</f>
        <v/>
      </c>
      <c r="H61" t="str" cm="1">
        <f t="array" ref="H61">IF(Working!$A61="","",INDEX(Working!$A$2:INDEX(Working!$A:$A, MATCH("zzz", Working!$A:$A)), MOD(ROW()-ROW(H$2)+H$1, COUNTA(Working!$A$2:INDEX(Working!$A:$A, MATCH("zzz", Working!$A:$A)))) + 1))</f>
        <v/>
      </c>
      <c r="I61" t="str" cm="1">
        <f t="array" ref="I61">IF(Working!$A61="","",INDEX(Working!$A$2:INDEX(Working!$A:$A, MATCH("zzz", Working!$A:$A)), MOD(ROW()-ROW(I$2)+I$1, COUNTA(Working!$A$2:INDEX(Working!$A:$A, MATCH("zzz", Working!$A:$A)))) + 1))</f>
        <v/>
      </c>
      <c r="J61" t="str" cm="1">
        <f t="array" ref="J61">IF(Working!$A61="","",INDEX(Working!$A$2:INDEX(Working!$A:$A, MATCH("zzz", Working!$A:$A)), MOD(ROW()-ROW(J$2)+J$1, COUNTA(Working!$A$2:INDEX(Working!$A:$A, MATCH("zzz", Working!$A:$A)))) + 1))</f>
        <v/>
      </c>
      <c r="K61" t="str" cm="1">
        <f t="array" ref="K61">IF(Working!$A61="","",INDEX(Working!$A$2:INDEX(Working!$A:$A, MATCH("zzz", Working!$A:$A)), MOD(ROW()-ROW(K$2)+K$1, COUNTA(Working!$A$2:INDEX(Working!$A:$A, MATCH("zzz", Working!$A:$A)))) + 1))</f>
        <v/>
      </c>
      <c r="L61" t="str" cm="1">
        <f t="array" ref="L61">IF(Working!$A61="","",INDEX(Working!$A$2:INDEX(Working!$A:$A, MATCH("zzz", Working!$A:$A)), MOD(ROW()-ROW(L$2)+L$1, COUNTA(Working!$A$2:INDEX(Working!$A:$A, MATCH("zzz", Working!$A:$A)))) + 1))</f>
        <v/>
      </c>
    </row>
    <row r="62" spans="3:12" ht="15.75" customHeight="1" x14ac:dyDescent="0.2">
      <c r="C62" t="str" cm="1">
        <f t="array" ref="C62">IF(Working!$A62="","",INDEX(Working!$A$2:INDEX(Working!$A:$A, MATCH("zzz", Working!$A:$A)), MOD(ROW()-ROW(C$2)+C$1, COUNTA(Working!$A$2:INDEX(Working!$A:$A, MATCH("zzz", Working!$A:$A)))) + 1))</f>
        <v/>
      </c>
      <c r="D62" t="str" cm="1">
        <f t="array" ref="D62">IF(Working!$A62="","",INDEX(Working!$A$2:INDEX(Working!$A:$A, MATCH("zzz", Working!$A:$A)), MOD(ROW()-ROW(D$2)+D$1, COUNTA(Working!$A$2:INDEX(Working!$A:$A, MATCH("zzz", Working!$A:$A)))) + 1))</f>
        <v/>
      </c>
      <c r="E62" t="str" cm="1">
        <f t="array" ref="E62">IF(Working!$A62="","",INDEX(Working!$A$2:INDEX(Working!$A:$A, MATCH("zzz", Working!$A:$A)), MOD(ROW()-ROW(E$2)+E$1, COUNTA(Working!$A$2:INDEX(Working!$A:$A, MATCH("zzz", Working!$A:$A)))) + 1))</f>
        <v/>
      </c>
      <c r="F62" t="str" cm="1">
        <f t="array" ref="F62">IF(Working!$A62="","",INDEX(Working!$A$2:INDEX(Working!$A:$A, MATCH("zzz", Working!$A:$A)), MOD(ROW()-ROW(F$2)+F$1, COUNTA(Working!$A$2:INDEX(Working!$A:$A, MATCH("zzz", Working!$A:$A)))) + 1))</f>
        <v/>
      </c>
      <c r="G62" t="str" cm="1">
        <f t="array" ref="G62">IF(Working!$A62="","",INDEX(Working!$A$2:INDEX(Working!$A:$A, MATCH("zzz", Working!$A:$A)), MOD(ROW()-ROW(G$2)+G$1, COUNTA(Working!$A$2:INDEX(Working!$A:$A, MATCH("zzz", Working!$A:$A)))) + 1))</f>
        <v/>
      </c>
      <c r="H62" t="str" cm="1">
        <f t="array" ref="H62">IF(Working!$A62="","",INDEX(Working!$A$2:INDEX(Working!$A:$A, MATCH("zzz", Working!$A:$A)), MOD(ROW()-ROW(H$2)+H$1, COUNTA(Working!$A$2:INDEX(Working!$A:$A, MATCH("zzz", Working!$A:$A)))) + 1))</f>
        <v/>
      </c>
      <c r="I62" t="str" cm="1">
        <f t="array" ref="I62">IF(Working!$A62="","",INDEX(Working!$A$2:INDEX(Working!$A:$A, MATCH("zzz", Working!$A:$A)), MOD(ROW()-ROW(I$2)+I$1, COUNTA(Working!$A$2:INDEX(Working!$A:$A, MATCH("zzz", Working!$A:$A)))) + 1))</f>
        <v/>
      </c>
      <c r="J62" t="str" cm="1">
        <f t="array" ref="J62">IF(Working!$A62="","",INDEX(Working!$A$2:INDEX(Working!$A:$A, MATCH("zzz", Working!$A:$A)), MOD(ROW()-ROW(J$2)+J$1, COUNTA(Working!$A$2:INDEX(Working!$A:$A, MATCH("zzz", Working!$A:$A)))) + 1))</f>
        <v/>
      </c>
      <c r="K62" t="str" cm="1">
        <f t="array" ref="K62">IF(Working!$A62="","",INDEX(Working!$A$2:INDEX(Working!$A:$A, MATCH("zzz", Working!$A:$A)), MOD(ROW()-ROW(K$2)+K$1, COUNTA(Working!$A$2:INDEX(Working!$A:$A, MATCH("zzz", Working!$A:$A)))) + 1))</f>
        <v/>
      </c>
      <c r="L62" t="str" cm="1">
        <f t="array" ref="L62">IF(Working!$A62="","",INDEX(Working!$A$2:INDEX(Working!$A:$A, MATCH("zzz", Working!$A:$A)), MOD(ROW()-ROW(L$2)+L$1, COUNTA(Working!$A$2:INDEX(Working!$A:$A, MATCH("zzz", Working!$A:$A)))) + 1))</f>
        <v/>
      </c>
    </row>
    <row r="63" spans="3:12" ht="15.75" customHeight="1" x14ac:dyDescent="0.2">
      <c r="C63" t="str" cm="1">
        <f t="array" ref="C63">IF(Working!$A63="","",INDEX(Working!$A$2:INDEX(Working!$A:$A, MATCH("zzz", Working!$A:$A)), MOD(ROW()-ROW(C$2)+C$1, COUNTA(Working!$A$2:INDEX(Working!$A:$A, MATCH("zzz", Working!$A:$A)))) + 1))</f>
        <v/>
      </c>
      <c r="D63" t="str" cm="1">
        <f t="array" ref="D63">IF(Working!$A63="","",INDEX(Working!$A$2:INDEX(Working!$A:$A, MATCH("zzz", Working!$A:$A)), MOD(ROW()-ROW(D$2)+D$1, COUNTA(Working!$A$2:INDEX(Working!$A:$A, MATCH("zzz", Working!$A:$A)))) + 1))</f>
        <v/>
      </c>
      <c r="E63" t="str" cm="1">
        <f t="array" ref="E63">IF(Working!$A63="","",INDEX(Working!$A$2:INDEX(Working!$A:$A, MATCH("zzz", Working!$A:$A)), MOD(ROW()-ROW(E$2)+E$1, COUNTA(Working!$A$2:INDEX(Working!$A:$A, MATCH("zzz", Working!$A:$A)))) + 1))</f>
        <v/>
      </c>
      <c r="F63" t="str" cm="1">
        <f t="array" ref="F63">IF(Working!$A63="","",INDEX(Working!$A$2:INDEX(Working!$A:$A, MATCH("zzz", Working!$A:$A)), MOD(ROW()-ROW(F$2)+F$1, COUNTA(Working!$A$2:INDEX(Working!$A:$A, MATCH("zzz", Working!$A:$A)))) + 1))</f>
        <v/>
      </c>
      <c r="G63" t="str" cm="1">
        <f t="array" ref="G63">IF(Working!$A63="","",INDEX(Working!$A$2:INDEX(Working!$A:$A, MATCH("zzz", Working!$A:$A)), MOD(ROW()-ROW(G$2)+G$1, COUNTA(Working!$A$2:INDEX(Working!$A:$A, MATCH("zzz", Working!$A:$A)))) + 1))</f>
        <v/>
      </c>
      <c r="H63" t="str" cm="1">
        <f t="array" ref="H63">IF(Working!$A63="","",INDEX(Working!$A$2:INDEX(Working!$A:$A, MATCH("zzz", Working!$A:$A)), MOD(ROW()-ROW(H$2)+H$1, COUNTA(Working!$A$2:INDEX(Working!$A:$A, MATCH("zzz", Working!$A:$A)))) + 1))</f>
        <v/>
      </c>
      <c r="I63" t="str" cm="1">
        <f t="array" ref="I63">IF(Working!$A63="","",INDEX(Working!$A$2:INDEX(Working!$A:$A, MATCH("zzz", Working!$A:$A)), MOD(ROW()-ROW(I$2)+I$1, COUNTA(Working!$A$2:INDEX(Working!$A:$A, MATCH("zzz", Working!$A:$A)))) + 1))</f>
        <v/>
      </c>
      <c r="J63" t="str" cm="1">
        <f t="array" ref="J63">IF(Working!$A63="","",INDEX(Working!$A$2:INDEX(Working!$A:$A, MATCH("zzz", Working!$A:$A)), MOD(ROW()-ROW(J$2)+J$1, COUNTA(Working!$A$2:INDEX(Working!$A:$A, MATCH("zzz", Working!$A:$A)))) + 1))</f>
        <v/>
      </c>
      <c r="K63" t="str" cm="1">
        <f t="array" ref="K63">IF(Working!$A63="","",INDEX(Working!$A$2:INDEX(Working!$A:$A, MATCH("zzz", Working!$A:$A)), MOD(ROW()-ROW(K$2)+K$1, COUNTA(Working!$A$2:INDEX(Working!$A:$A, MATCH("zzz", Working!$A:$A)))) + 1))</f>
        <v/>
      </c>
      <c r="L63" t="str" cm="1">
        <f t="array" ref="L63">IF(Working!$A63="","",INDEX(Working!$A$2:INDEX(Working!$A:$A, MATCH("zzz", Working!$A:$A)), MOD(ROW()-ROW(L$2)+L$1, COUNTA(Working!$A$2:INDEX(Working!$A:$A, MATCH("zzz", Working!$A:$A)))) + 1))</f>
        <v/>
      </c>
    </row>
    <row r="64" spans="3:12" ht="15.75" customHeight="1" x14ac:dyDescent="0.2">
      <c r="C64" t="str" cm="1">
        <f t="array" ref="C64">IF(Working!$A64="","",INDEX(Working!$A$2:INDEX(Working!$A:$A, MATCH("zzz", Working!$A:$A)), MOD(ROW()-ROW(C$2)+C$1, COUNTA(Working!$A$2:INDEX(Working!$A:$A, MATCH("zzz", Working!$A:$A)))) + 1))</f>
        <v/>
      </c>
      <c r="D64" t="str" cm="1">
        <f t="array" ref="D64">IF(Working!$A64="","",INDEX(Working!$A$2:INDEX(Working!$A:$A, MATCH("zzz", Working!$A:$A)), MOD(ROW()-ROW(D$2)+D$1, COUNTA(Working!$A$2:INDEX(Working!$A:$A, MATCH("zzz", Working!$A:$A)))) + 1))</f>
        <v/>
      </c>
      <c r="E64" t="str" cm="1">
        <f t="array" ref="E64">IF(Working!$A64="","",INDEX(Working!$A$2:INDEX(Working!$A:$A, MATCH("zzz", Working!$A:$A)), MOD(ROW()-ROW(E$2)+E$1, COUNTA(Working!$A$2:INDEX(Working!$A:$A, MATCH("zzz", Working!$A:$A)))) + 1))</f>
        <v/>
      </c>
      <c r="F64" t="str" cm="1">
        <f t="array" ref="F64">IF(Working!$A64="","",INDEX(Working!$A$2:INDEX(Working!$A:$A, MATCH("zzz", Working!$A:$A)), MOD(ROW()-ROW(F$2)+F$1, COUNTA(Working!$A$2:INDEX(Working!$A:$A, MATCH("zzz", Working!$A:$A)))) + 1))</f>
        <v/>
      </c>
      <c r="G64" t="str" cm="1">
        <f t="array" ref="G64">IF(Working!$A64="","",INDEX(Working!$A$2:INDEX(Working!$A:$A, MATCH("zzz", Working!$A:$A)), MOD(ROW()-ROW(G$2)+G$1, COUNTA(Working!$A$2:INDEX(Working!$A:$A, MATCH("zzz", Working!$A:$A)))) + 1))</f>
        <v/>
      </c>
      <c r="H64" t="str" cm="1">
        <f t="array" ref="H64">IF(Working!$A64="","",INDEX(Working!$A$2:INDEX(Working!$A:$A, MATCH("zzz", Working!$A:$A)), MOD(ROW()-ROW(H$2)+H$1, COUNTA(Working!$A$2:INDEX(Working!$A:$A, MATCH("zzz", Working!$A:$A)))) + 1))</f>
        <v/>
      </c>
      <c r="I64" t="str" cm="1">
        <f t="array" ref="I64">IF(Working!$A64="","",INDEX(Working!$A$2:INDEX(Working!$A:$A, MATCH("zzz", Working!$A:$A)), MOD(ROW()-ROW(I$2)+I$1, COUNTA(Working!$A$2:INDEX(Working!$A:$A, MATCH("zzz", Working!$A:$A)))) + 1))</f>
        <v/>
      </c>
      <c r="J64" t="str" cm="1">
        <f t="array" ref="J64">IF(Working!$A64="","",INDEX(Working!$A$2:INDEX(Working!$A:$A, MATCH("zzz", Working!$A:$A)), MOD(ROW()-ROW(J$2)+J$1, COUNTA(Working!$A$2:INDEX(Working!$A:$A, MATCH("zzz", Working!$A:$A)))) + 1))</f>
        <v/>
      </c>
      <c r="K64" t="str" cm="1">
        <f t="array" ref="K64">IF(Working!$A64="","",INDEX(Working!$A$2:INDEX(Working!$A:$A, MATCH("zzz", Working!$A:$A)), MOD(ROW()-ROW(K$2)+K$1, COUNTA(Working!$A$2:INDEX(Working!$A:$A, MATCH("zzz", Working!$A:$A)))) + 1))</f>
        <v/>
      </c>
      <c r="L64" t="str" cm="1">
        <f t="array" ref="L64">IF(Working!$A64="","",INDEX(Working!$A$2:INDEX(Working!$A:$A, MATCH("zzz", Working!$A:$A)), MOD(ROW()-ROW(L$2)+L$1, COUNTA(Working!$A$2:INDEX(Working!$A:$A, MATCH("zzz", Working!$A:$A)))) + 1))</f>
        <v/>
      </c>
    </row>
    <row r="65" spans="3:12" ht="15.75" customHeight="1" x14ac:dyDescent="0.2">
      <c r="C65" t="str" cm="1">
        <f t="array" ref="C65">IF(Working!$A65="","",INDEX(Working!$A$2:INDEX(Working!$A:$A, MATCH("zzz", Working!$A:$A)), MOD(ROW()-ROW(C$2)+C$1, COUNTA(Working!$A$2:INDEX(Working!$A:$A, MATCH("zzz", Working!$A:$A)))) + 1))</f>
        <v/>
      </c>
      <c r="D65" t="str" cm="1">
        <f t="array" ref="D65">IF(Working!$A65="","",INDEX(Working!$A$2:INDEX(Working!$A:$A, MATCH("zzz", Working!$A:$A)), MOD(ROW()-ROW(D$2)+D$1, COUNTA(Working!$A$2:INDEX(Working!$A:$A, MATCH("zzz", Working!$A:$A)))) + 1))</f>
        <v/>
      </c>
      <c r="E65" t="str" cm="1">
        <f t="array" ref="E65">IF(Working!$A65="","",INDEX(Working!$A$2:INDEX(Working!$A:$A, MATCH("zzz", Working!$A:$A)), MOD(ROW()-ROW(E$2)+E$1, COUNTA(Working!$A$2:INDEX(Working!$A:$A, MATCH("zzz", Working!$A:$A)))) + 1))</f>
        <v/>
      </c>
      <c r="F65" t="str" cm="1">
        <f t="array" ref="F65">IF(Working!$A65="","",INDEX(Working!$A$2:INDEX(Working!$A:$A, MATCH("zzz", Working!$A:$A)), MOD(ROW()-ROW(F$2)+F$1, COUNTA(Working!$A$2:INDEX(Working!$A:$A, MATCH("zzz", Working!$A:$A)))) + 1))</f>
        <v/>
      </c>
      <c r="G65" t="str" cm="1">
        <f t="array" ref="G65">IF(Working!$A65="","",INDEX(Working!$A$2:INDEX(Working!$A:$A, MATCH("zzz", Working!$A:$A)), MOD(ROW()-ROW(G$2)+G$1, COUNTA(Working!$A$2:INDEX(Working!$A:$A, MATCH("zzz", Working!$A:$A)))) + 1))</f>
        <v/>
      </c>
      <c r="H65" t="str" cm="1">
        <f t="array" ref="H65">IF(Working!$A65="","",INDEX(Working!$A$2:INDEX(Working!$A:$A, MATCH("zzz", Working!$A:$A)), MOD(ROW()-ROW(H$2)+H$1, COUNTA(Working!$A$2:INDEX(Working!$A:$A, MATCH("zzz", Working!$A:$A)))) + 1))</f>
        <v/>
      </c>
      <c r="I65" t="str" cm="1">
        <f t="array" ref="I65">IF(Working!$A65="","",INDEX(Working!$A$2:INDEX(Working!$A:$A, MATCH("zzz", Working!$A:$A)), MOD(ROW()-ROW(I$2)+I$1, COUNTA(Working!$A$2:INDEX(Working!$A:$A, MATCH("zzz", Working!$A:$A)))) + 1))</f>
        <v/>
      </c>
      <c r="J65" t="str" cm="1">
        <f t="array" ref="J65">IF(Working!$A65="","",INDEX(Working!$A$2:INDEX(Working!$A:$A, MATCH("zzz", Working!$A:$A)), MOD(ROW()-ROW(J$2)+J$1, COUNTA(Working!$A$2:INDEX(Working!$A:$A, MATCH("zzz", Working!$A:$A)))) + 1))</f>
        <v/>
      </c>
      <c r="K65" t="str" cm="1">
        <f t="array" ref="K65">IF(Working!$A65="","",INDEX(Working!$A$2:INDEX(Working!$A:$A, MATCH("zzz", Working!$A:$A)), MOD(ROW()-ROW(K$2)+K$1, COUNTA(Working!$A$2:INDEX(Working!$A:$A, MATCH("zzz", Working!$A:$A)))) + 1))</f>
        <v/>
      </c>
      <c r="L65" t="str" cm="1">
        <f t="array" ref="L65">IF(Working!$A65="","",INDEX(Working!$A$2:INDEX(Working!$A:$A, MATCH("zzz", Working!$A:$A)), MOD(ROW()-ROW(L$2)+L$1, COUNTA(Working!$A$2:INDEX(Working!$A:$A, MATCH("zzz", Working!$A:$A)))) + 1))</f>
        <v/>
      </c>
    </row>
    <row r="66" spans="3:12" ht="15.75" customHeight="1" x14ac:dyDescent="0.2">
      <c r="C66" t="str" cm="1">
        <f t="array" ref="C66">IF(Working!$A66="","",INDEX(Working!$A$2:INDEX(Working!$A:$A, MATCH("zzz", Working!$A:$A)), MOD(ROW()-ROW(C$2)+C$1, COUNTA(Working!$A$2:INDEX(Working!$A:$A, MATCH("zzz", Working!$A:$A)))) + 1))</f>
        <v/>
      </c>
      <c r="D66" t="str" cm="1">
        <f t="array" ref="D66">IF(Working!$A66="","",INDEX(Working!$A$2:INDEX(Working!$A:$A, MATCH("zzz", Working!$A:$A)), MOD(ROW()-ROW(D$2)+D$1, COUNTA(Working!$A$2:INDEX(Working!$A:$A, MATCH("zzz", Working!$A:$A)))) + 1))</f>
        <v/>
      </c>
      <c r="E66" t="str" cm="1">
        <f t="array" ref="E66">IF(Working!$A66="","",INDEX(Working!$A$2:INDEX(Working!$A:$A, MATCH("zzz", Working!$A:$A)), MOD(ROW()-ROW(E$2)+E$1, COUNTA(Working!$A$2:INDEX(Working!$A:$A, MATCH("zzz", Working!$A:$A)))) + 1))</f>
        <v/>
      </c>
      <c r="F66" t="str" cm="1">
        <f t="array" ref="F66">IF(Working!$A66="","",INDEX(Working!$A$2:INDEX(Working!$A:$A, MATCH("zzz", Working!$A:$A)), MOD(ROW()-ROW(F$2)+F$1, COUNTA(Working!$A$2:INDEX(Working!$A:$A, MATCH("zzz", Working!$A:$A)))) + 1))</f>
        <v/>
      </c>
      <c r="G66" t="str" cm="1">
        <f t="array" ref="G66">IF(Working!$A66="","",INDEX(Working!$A$2:INDEX(Working!$A:$A, MATCH("zzz", Working!$A:$A)), MOD(ROW()-ROW(G$2)+G$1, COUNTA(Working!$A$2:INDEX(Working!$A:$A, MATCH("zzz", Working!$A:$A)))) + 1))</f>
        <v/>
      </c>
      <c r="H66" t="str" cm="1">
        <f t="array" ref="H66">IF(Working!$A66="","",INDEX(Working!$A$2:INDEX(Working!$A:$A, MATCH("zzz", Working!$A:$A)), MOD(ROW()-ROW(H$2)+H$1, COUNTA(Working!$A$2:INDEX(Working!$A:$A, MATCH("zzz", Working!$A:$A)))) + 1))</f>
        <v/>
      </c>
      <c r="I66" t="str" cm="1">
        <f t="array" ref="I66">IF(Working!$A66="","",INDEX(Working!$A$2:INDEX(Working!$A:$A, MATCH("zzz", Working!$A:$A)), MOD(ROW()-ROW(I$2)+I$1, COUNTA(Working!$A$2:INDEX(Working!$A:$A, MATCH("zzz", Working!$A:$A)))) + 1))</f>
        <v/>
      </c>
      <c r="J66" t="str" cm="1">
        <f t="array" ref="J66">IF(Working!$A66="","",INDEX(Working!$A$2:INDEX(Working!$A:$A, MATCH("zzz", Working!$A:$A)), MOD(ROW()-ROW(J$2)+J$1, COUNTA(Working!$A$2:INDEX(Working!$A:$A, MATCH("zzz", Working!$A:$A)))) + 1))</f>
        <v/>
      </c>
      <c r="K66" t="str" cm="1">
        <f t="array" ref="K66">IF(Working!$A66="","",INDEX(Working!$A$2:INDEX(Working!$A:$A, MATCH("zzz", Working!$A:$A)), MOD(ROW()-ROW(K$2)+K$1, COUNTA(Working!$A$2:INDEX(Working!$A:$A, MATCH("zzz", Working!$A:$A)))) + 1))</f>
        <v/>
      </c>
      <c r="L66" t="str" cm="1">
        <f t="array" ref="L66">IF(Working!$A66="","",INDEX(Working!$A$2:INDEX(Working!$A:$A, MATCH("zzz", Working!$A:$A)), MOD(ROW()-ROW(L$2)+L$1, COUNTA(Working!$A$2:INDEX(Working!$A:$A, MATCH("zzz", Working!$A:$A)))) + 1))</f>
        <v/>
      </c>
    </row>
    <row r="67" spans="3:12" ht="15.75" customHeight="1" x14ac:dyDescent="0.2">
      <c r="C67" t="str" cm="1">
        <f t="array" ref="C67">IF(Working!$A67="","",INDEX(Working!$A$2:INDEX(Working!$A:$A, MATCH("zzz", Working!$A:$A)), MOD(ROW()-ROW(C$2)+C$1, COUNTA(Working!$A$2:INDEX(Working!$A:$A, MATCH("zzz", Working!$A:$A)))) + 1))</f>
        <v/>
      </c>
      <c r="D67" t="str" cm="1">
        <f t="array" ref="D67">IF(Working!$A67="","",INDEX(Working!$A$2:INDEX(Working!$A:$A, MATCH("zzz", Working!$A:$A)), MOD(ROW()-ROW(D$2)+D$1, COUNTA(Working!$A$2:INDEX(Working!$A:$A, MATCH("zzz", Working!$A:$A)))) + 1))</f>
        <v/>
      </c>
      <c r="E67" t="str" cm="1">
        <f t="array" ref="E67">IF(Working!$A67="","",INDEX(Working!$A$2:INDEX(Working!$A:$A, MATCH("zzz", Working!$A:$A)), MOD(ROW()-ROW(E$2)+E$1, COUNTA(Working!$A$2:INDEX(Working!$A:$A, MATCH("zzz", Working!$A:$A)))) + 1))</f>
        <v/>
      </c>
      <c r="F67" t="str" cm="1">
        <f t="array" ref="F67">IF(Working!$A67="","",INDEX(Working!$A$2:INDEX(Working!$A:$A, MATCH("zzz", Working!$A:$A)), MOD(ROW()-ROW(F$2)+F$1, COUNTA(Working!$A$2:INDEX(Working!$A:$A, MATCH("zzz", Working!$A:$A)))) + 1))</f>
        <v/>
      </c>
      <c r="G67" t="str" cm="1">
        <f t="array" ref="G67">IF(Working!$A67="","",INDEX(Working!$A$2:INDEX(Working!$A:$A, MATCH("zzz", Working!$A:$A)), MOD(ROW()-ROW(G$2)+G$1, COUNTA(Working!$A$2:INDEX(Working!$A:$A, MATCH("zzz", Working!$A:$A)))) + 1))</f>
        <v/>
      </c>
      <c r="H67" t="str" cm="1">
        <f t="array" ref="H67">IF(Working!$A67="","",INDEX(Working!$A$2:INDEX(Working!$A:$A, MATCH("zzz", Working!$A:$A)), MOD(ROW()-ROW(H$2)+H$1, COUNTA(Working!$A$2:INDEX(Working!$A:$A, MATCH("zzz", Working!$A:$A)))) + 1))</f>
        <v/>
      </c>
      <c r="I67" t="str" cm="1">
        <f t="array" ref="I67">IF(Working!$A67="","",INDEX(Working!$A$2:INDEX(Working!$A:$A, MATCH("zzz", Working!$A:$A)), MOD(ROW()-ROW(I$2)+I$1, COUNTA(Working!$A$2:INDEX(Working!$A:$A, MATCH("zzz", Working!$A:$A)))) + 1))</f>
        <v/>
      </c>
      <c r="J67" t="str" cm="1">
        <f t="array" ref="J67">IF(Working!$A67="","",INDEX(Working!$A$2:INDEX(Working!$A:$A, MATCH("zzz", Working!$A:$A)), MOD(ROW()-ROW(J$2)+J$1, COUNTA(Working!$A$2:INDEX(Working!$A:$A, MATCH("zzz", Working!$A:$A)))) + 1))</f>
        <v/>
      </c>
      <c r="K67" t="str" cm="1">
        <f t="array" ref="K67">IF(Working!$A67="","",INDEX(Working!$A$2:INDEX(Working!$A:$A, MATCH("zzz", Working!$A:$A)), MOD(ROW()-ROW(K$2)+K$1, COUNTA(Working!$A$2:INDEX(Working!$A:$A, MATCH("zzz", Working!$A:$A)))) + 1))</f>
        <v/>
      </c>
      <c r="L67" t="str" cm="1">
        <f t="array" ref="L67">IF(Working!$A67="","",INDEX(Working!$A$2:INDEX(Working!$A:$A, MATCH("zzz", Working!$A:$A)), MOD(ROW()-ROW(L$2)+L$1, COUNTA(Working!$A$2:INDEX(Working!$A:$A, MATCH("zzz", Working!$A:$A)))) + 1))</f>
        <v/>
      </c>
    </row>
    <row r="68" spans="3:12" ht="15.75" customHeight="1" x14ac:dyDescent="0.2">
      <c r="C68" t="str" cm="1">
        <f t="array" ref="C68">IF(Working!$A68="","",INDEX(Working!$A$2:INDEX(Working!$A:$A, MATCH("zzz", Working!$A:$A)), MOD(ROW()-ROW(C$2)+C$1, COUNTA(Working!$A$2:INDEX(Working!$A:$A, MATCH("zzz", Working!$A:$A)))) + 1))</f>
        <v/>
      </c>
      <c r="D68" t="str" cm="1">
        <f t="array" ref="D68">IF(Working!$A68="","",INDEX(Working!$A$2:INDEX(Working!$A:$A, MATCH("zzz", Working!$A:$A)), MOD(ROW()-ROW(D$2)+D$1, COUNTA(Working!$A$2:INDEX(Working!$A:$A, MATCH("zzz", Working!$A:$A)))) + 1))</f>
        <v/>
      </c>
      <c r="E68" t="str" cm="1">
        <f t="array" ref="E68">IF(Working!$A68="","",INDEX(Working!$A$2:INDEX(Working!$A:$A, MATCH("zzz", Working!$A:$A)), MOD(ROW()-ROW(E$2)+E$1, COUNTA(Working!$A$2:INDEX(Working!$A:$A, MATCH("zzz", Working!$A:$A)))) + 1))</f>
        <v/>
      </c>
      <c r="F68" t="str" cm="1">
        <f t="array" ref="F68">IF(Working!$A68="","",INDEX(Working!$A$2:INDEX(Working!$A:$A, MATCH("zzz", Working!$A:$A)), MOD(ROW()-ROW(F$2)+F$1, COUNTA(Working!$A$2:INDEX(Working!$A:$A, MATCH("zzz", Working!$A:$A)))) + 1))</f>
        <v/>
      </c>
      <c r="G68" t="str" cm="1">
        <f t="array" ref="G68">IF(Working!$A68="","",INDEX(Working!$A$2:INDEX(Working!$A:$A, MATCH("zzz", Working!$A:$A)), MOD(ROW()-ROW(G$2)+G$1, COUNTA(Working!$A$2:INDEX(Working!$A:$A, MATCH("zzz", Working!$A:$A)))) + 1))</f>
        <v/>
      </c>
      <c r="H68" t="str" cm="1">
        <f t="array" ref="H68">IF(Working!$A68="","",INDEX(Working!$A$2:INDEX(Working!$A:$A, MATCH("zzz", Working!$A:$A)), MOD(ROW()-ROW(H$2)+H$1, COUNTA(Working!$A$2:INDEX(Working!$A:$A, MATCH("zzz", Working!$A:$A)))) + 1))</f>
        <v/>
      </c>
      <c r="I68" t="str" cm="1">
        <f t="array" ref="I68">IF(Working!$A68="","",INDEX(Working!$A$2:INDEX(Working!$A:$A, MATCH("zzz", Working!$A:$A)), MOD(ROW()-ROW(I$2)+I$1, COUNTA(Working!$A$2:INDEX(Working!$A:$A, MATCH("zzz", Working!$A:$A)))) + 1))</f>
        <v/>
      </c>
      <c r="J68" t="str" cm="1">
        <f t="array" ref="J68">IF(Working!$A68="","",INDEX(Working!$A$2:INDEX(Working!$A:$A, MATCH("zzz", Working!$A:$A)), MOD(ROW()-ROW(J$2)+J$1, COUNTA(Working!$A$2:INDEX(Working!$A:$A, MATCH("zzz", Working!$A:$A)))) + 1))</f>
        <v/>
      </c>
      <c r="K68" t="str" cm="1">
        <f t="array" ref="K68">IF(Working!$A68="","",INDEX(Working!$A$2:INDEX(Working!$A:$A, MATCH("zzz", Working!$A:$A)), MOD(ROW()-ROW(K$2)+K$1, COUNTA(Working!$A$2:INDEX(Working!$A:$A, MATCH("zzz", Working!$A:$A)))) + 1))</f>
        <v/>
      </c>
      <c r="L68" t="str" cm="1">
        <f t="array" ref="L68">IF(Working!$A68="","",INDEX(Working!$A$2:INDEX(Working!$A:$A, MATCH("zzz", Working!$A:$A)), MOD(ROW()-ROW(L$2)+L$1, COUNTA(Working!$A$2:INDEX(Working!$A:$A, MATCH("zzz", Working!$A:$A)))) + 1))</f>
        <v/>
      </c>
    </row>
    <row r="69" spans="3:12" ht="15.75" customHeight="1" x14ac:dyDescent="0.2">
      <c r="C69" t="str" cm="1">
        <f t="array" ref="C69">IF(Working!$A69="","",INDEX(Working!$A$2:INDEX(Working!$A:$A, MATCH("zzz", Working!$A:$A)), MOD(ROW()-ROW(C$2)+C$1, COUNTA(Working!$A$2:INDEX(Working!$A:$A, MATCH("zzz", Working!$A:$A)))) + 1))</f>
        <v/>
      </c>
      <c r="D69" t="str" cm="1">
        <f t="array" ref="D69">IF(Working!$A69="","",INDEX(Working!$A$2:INDEX(Working!$A:$A, MATCH("zzz", Working!$A:$A)), MOD(ROW()-ROW(D$2)+D$1, COUNTA(Working!$A$2:INDEX(Working!$A:$A, MATCH("zzz", Working!$A:$A)))) + 1))</f>
        <v/>
      </c>
      <c r="E69" t="str" cm="1">
        <f t="array" ref="E69">IF(Working!$A69="","",INDEX(Working!$A$2:INDEX(Working!$A:$A, MATCH("zzz", Working!$A:$A)), MOD(ROW()-ROW(E$2)+E$1, COUNTA(Working!$A$2:INDEX(Working!$A:$A, MATCH("zzz", Working!$A:$A)))) + 1))</f>
        <v/>
      </c>
      <c r="F69" t="str" cm="1">
        <f t="array" ref="F69">IF(Working!$A69="","",INDEX(Working!$A$2:INDEX(Working!$A:$A, MATCH("zzz", Working!$A:$A)), MOD(ROW()-ROW(F$2)+F$1, COUNTA(Working!$A$2:INDEX(Working!$A:$A, MATCH("zzz", Working!$A:$A)))) + 1))</f>
        <v/>
      </c>
      <c r="G69" t="str" cm="1">
        <f t="array" ref="G69">IF(Working!$A69="","",INDEX(Working!$A$2:INDEX(Working!$A:$A, MATCH("zzz", Working!$A:$A)), MOD(ROW()-ROW(G$2)+G$1, COUNTA(Working!$A$2:INDEX(Working!$A:$A, MATCH("zzz", Working!$A:$A)))) + 1))</f>
        <v/>
      </c>
      <c r="H69" t="str" cm="1">
        <f t="array" ref="H69">IF(Working!$A69="","",INDEX(Working!$A$2:INDEX(Working!$A:$A, MATCH("zzz", Working!$A:$A)), MOD(ROW()-ROW(H$2)+H$1, COUNTA(Working!$A$2:INDEX(Working!$A:$A, MATCH("zzz", Working!$A:$A)))) + 1))</f>
        <v/>
      </c>
      <c r="I69" t="str" cm="1">
        <f t="array" ref="I69">IF(Working!$A69="","",INDEX(Working!$A$2:INDEX(Working!$A:$A, MATCH("zzz", Working!$A:$A)), MOD(ROW()-ROW(I$2)+I$1, COUNTA(Working!$A$2:INDEX(Working!$A:$A, MATCH("zzz", Working!$A:$A)))) + 1))</f>
        <v/>
      </c>
      <c r="J69" t="str" cm="1">
        <f t="array" ref="J69">IF(Working!$A69="","",INDEX(Working!$A$2:INDEX(Working!$A:$A, MATCH("zzz", Working!$A:$A)), MOD(ROW()-ROW(J$2)+J$1, COUNTA(Working!$A$2:INDEX(Working!$A:$A, MATCH("zzz", Working!$A:$A)))) + 1))</f>
        <v/>
      </c>
      <c r="K69" t="str" cm="1">
        <f t="array" ref="K69">IF(Working!$A69="","",INDEX(Working!$A$2:INDEX(Working!$A:$A, MATCH("zzz", Working!$A:$A)), MOD(ROW()-ROW(K$2)+K$1, COUNTA(Working!$A$2:INDEX(Working!$A:$A, MATCH("zzz", Working!$A:$A)))) + 1))</f>
        <v/>
      </c>
      <c r="L69" t="str" cm="1">
        <f t="array" ref="L69">IF(Working!$A69="","",INDEX(Working!$A$2:INDEX(Working!$A:$A, MATCH("zzz", Working!$A:$A)), MOD(ROW()-ROW(L$2)+L$1, COUNTA(Working!$A$2:INDEX(Working!$A:$A, MATCH("zzz", Working!$A:$A)))) + 1))</f>
        <v/>
      </c>
    </row>
    <row r="70" spans="3:12" ht="15.75" customHeight="1" x14ac:dyDescent="0.2">
      <c r="C70" t="str" cm="1">
        <f t="array" ref="C70">IF(Working!$A70="","",INDEX(Working!$A$2:INDEX(Working!$A:$A, MATCH("zzz", Working!$A:$A)), MOD(ROW()-ROW(C$2)+C$1, COUNTA(Working!$A$2:INDEX(Working!$A:$A, MATCH("zzz", Working!$A:$A)))) + 1))</f>
        <v/>
      </c>
      <c r="D70" t="str" cm="1">
        <f t="array" ref="D70">IF(Working!$A70="","",INDEX(Working!$A$2:INDEX(Working!$A:$A, MATCH("zzz", Working!$A:$A)), MOD(ROW()-ROW(D$2)+D$1, COUNTA(Working!$A$2:INDEX(Working!$A:$A, MATCH("zzz", Working!$A:$A)))) + 1))</f>
        <v/>
      </c>
      <c r="E70" t="str" cm="1">
        <f t="array" ref="E70">IF(Working!$A70="","",INDEX(Working!$A$2:INDEX(Working!$A:$A, MATCH("zzz", Working!$A:$A)), MOD(ROW()-ROW(E$2)+E$1, COUNTA(Working!$A$2:INDEX(Working!$A:$A, MATCH("zzz", Working!$A:$A)))) + 1))</f>
        <v/>
      </c>
      <c r="F70" t="str" cm="1">
        <f t="array" ref="F70">IF(Working!$A70="","",INDEX(Working!$A$2:INDEX(Working!$A:$A, MATCH("zzz", Working!$A:$A)), MOD(ROW()-ROW(F$2)+F$1, COUNTA(Working!$A$2:INDEX(Working!$A:$A, MATCH("zzz", Working!$A:$A)))) + 1))</f>
        <v/>
      </c>
      <c r="G70" t="str" cm="1">
        <f t="array" ref="G70">IF(Working!$A70="","",INDEX(Working!$A$2:INDEX(Working!$A:$A, MATCH("zzz", Working!$A:$A)), MOD(ROW()-ROW(G$2)+G$1, COUNTA(Working!$A$2:INDEX(Working!$A:$A, MATCH("zzz", Working!$A:$A)))) + 1))</f>
        <v/>
      </c>
      <c r="H70" t="str" cm="1">
        <f t="array" ref="H70">IF(Working!$A70="","",INDEX(Working!$A$2:INDEX(Working!$A:$A, MATCH("zzz", Working!$A:$A)), MOD(ROW()-ROW(H$2)+H$1, COUNTA(Working!$A$2:INDEX(Working!$A:$A, MATCH("zzz", Working!$A:$A)))) + 1))</f>
        <v/>
      </c>
      <c r="I70" t="str" cm="1">
        <f t="array" ref="I70">IF(Working!$A70="","",INDEX(Working!$A$2:INDEX(Working!$A:$A, MATCH("zzz", Working!$A:$A)), MOD(ROW()-ROW(I$2)+I$1, COUNTA(Working!$A$2:INDEX(Working!$A:$A, MATCH("zzz", Working!$A:$A)))) + 1))</f>
        <v/>
      </c>
      <c r="J70" t="str" cm="1">
        <f t="array" ref="J70">IF(Working!$A70="","",INDEX(Working!$A$2:INDEX(Working!$A:$A, MATCH("zzz", Working!$A:$A)), MOD(ROW()-ROW(J$2)+J$1, COUNTA(Working!$A$2:INDEX(Working!$A:$A, MATCH("zzz", Working!$A:$A)))) + 1))</f>
        <v/>
      </c>
      <c r="K70" t="str" cm="1">
        <f t="array" ref="K70">IF(Working!$A70="","",INDEX(Working!$A$2:INDEX(Working!$A:$A, MATCH("zzz", Working!$A:$A)), MOD(ROW()-ROW(K$2)+K$1, COUNTA(Working!$A$2:INDEX(Working!$A:$A, MATCH("zzz", Working!$A:$A)))) + 1))</f>
        <v/>
      </c>
      <c r="L70" t="str" cm="1">
        <f t="array" ref="L70">IF(Working!$A70="","",INDEX(Working!$A$2:INDEX(Working!$A:$A, MATCH("zzz", Working!$A:$A)), MOD(ROW()-ROW(L$2)+L$1, COUNTA(Working!$A$2:INDEX(Working!$A:$A, MATCH("zzz", Working!$A:$A)))) + 1))</f>
        <v/>
      </c>
    </row>
    <row r="71" spans="3:12" ht="15.75" customHeight="1" x14ac:dyDescent="0.2">
      <c r="C71" t="str" cm="1">
        <f t="array" ref="C71">IF(Working!$A71="","",INDEX(Working!$A$2:INDEX(Working!$A:$A, MATCH("zzz", Working!$A:$A)), MOD(ROW()-ROW(C$2)+C$1, COUNTA(Working!$A$2:INDEX(Working!$A:$A, MATCH("zzz", Working!$A:$A)))) + 1))</f>
        <v/>
      </c>
      <c r="D71" t="str" cm="1">
        <f t="array" ref="D71">IF(Working!$A71="","",INDEX(Working!$A$2:INDEX(Working!$A:$A, MATCH("zzz", Working!$A:$A)), MOD(ROW()-ROW(D$2)+D$1, COUNTA(Working!$A$2:INDEX(Working!$A:$A, MATCH("zzz", Working!$A:$A)))) + 1))</f>
        <v/>
      </c>
      <c r="E71" t="str" cm="1">
        <f t="array" ref="E71">IF(Working!$A71="","",INDEX(Working!$A$2:INDEX(Working!$A:$A, MATCH("zzz", Working!$A:$A)), MOD(ROW()-ROW(E$2)+E$1, COUNTA(Working!$A$2:INDEX(Working!$A:$A, MATCH("zzz", Working!$A:$A)))) + 1))</f>
        <v/>
      </c>
      <c r="F71" t="str" cm="1">
        <f t="array" ref="F71">IF(Working!$A71="","",INDEX(Working!$A$2:INDEX(Working!$A:$A, MATCH("zzz", Working!$A:$A)), MOD(ROW()-ROW(F$2)+F$1, COUNTA(Working!$A$2:INDEX(Working!$A:$A, MATCH("zzz", Working!$A:$A)))) + 1))</f>
        <v/>
      </c>
      <c r="G71" t="str" cm="1">
        <f t="array" ref="G71">IF(Working!$A71="","",INDEX(Working!$A$2:INDEX(Working!$A:$A, MATCH("zzz", Working!$A:$A)), MOD(ROW()-ROW(G$2)+G$1, COUNTA(Working!$A$2:INDEX(Working!$A:$A, MATCH("zzz", Working!$A:$A)))) + 1))</f>
        <v/>
      </c>
      <c r="H71" t="str" cm="1">
        <f t="array" ref="H71">IF(Working!$A71="","",INDEX(Working!$A$2:INDEX(Working!$A:$A, MATCH("zzz", Working!$A:$A)), MOD(ROW()-ROW(H$2)+H$1, COUNTA(Working!$A$2:INDEX(Working!$A:$A, MATCH("zzz", Working!$A:$A)))) + 1))</f>
        <v/>
      </c>
      <c r="I71" t="str" cm="1">
        <f t="array" ref="I71">IF(Working!$A71="","",INDEX(Working!$A$2:INDEX(Working!$A:$A, MATCH("zzz", Working!$A:$A)), MOD(ROW()-ROW(I$2)+I$1, COUNTA(Working!$A$2:INDEX(Working!$A:$A, MATCH("zzz", Working!$A:$A)))) + 1))</f>
        <v/>
      </c>
      <c r="J71" t="str" cm="1">
        <f t="array" ref="J71">IF(Working!$A71="","",INDEX(Working!$A$2:INDEX(Working!$A:$A, MATCH("zzz", Working!$A:$A)), MOD(ROW()-ROW(J$2)+J$1, COUNTA(Working!$A$2:INDEX(Working!$A:$A, MATCH("zzz", Working!$A:$A)))) + 1))</f>
        <v/>
      </c>
      <c r="K71" t="str" cm="1">
        <f t="array" ref="K71">IF(Working!$A71="","",INDEX(Working!$A$2:INDEX(Working!$A:$A, MATCH("zzz", Working!$A:$A)), MOD(ROW()-ROW(K$2)+K$1, COUNTA(Working!$A$2:INDEX(Working!$A:$A, MATCH("zzz", Working!$A:$A)))) + 1))</f>
        <v/>
      </c>
      <c r="L71" t="str" cm="1">
        <f t="array" ref="L71">IF(Working!$A71="","",INDEX(Working!$A$2:INDEX(Working!$A:$A, MATCH("zzz", Working!$A:$A)), MOD(ROW()-ROW(L$2)+L$1, COUNTA(Working!$A$2:INDEX(Working!$A:$A, MATCH("zzz", Working!$A:$A)))) + 1))</f>
        <v/>
      </c>
    </row>
    <row r="72" spans="3:12" ht="15.75" customHeight="1" x14ac:dyDescent="0.2">
      <c r="C72" t="str" cm="1">
        <f t="array" ref="C72">IF(Working!$A72="","",INDEX(Working!$A$2:INDEX(Working!$A:$A, MATCH("zzz", Working!$A:$A)), MOD(ROW()-ROW(C$2)+C$1, COUNTA(Working!$A$2:INDEX(Working!$A:$A, MATCH("zzz", Working!$A:$A)))) + 1))</f>
        <v/>
      </c>
      <c r="D72" t="str" cm="1">
        <f t="array" ref="D72">IF(Working!$A72="","",INDEX(Working!$A$2:INDEX(Working!$A:$A, MATCH("zzz", Working!$A:$A)), MOD(ROW()-ROW(D$2)+D$1, COUNTA(Working!$A$2:INDEX(Working!$A:$A, MATCH("zzz", Working!$A:$A)))) + 1))</f>
        <v/>
      </c>
      <c r="E72" t="str" cm="1">
        <f t="array" ref="E72">IF(Working!$A72="","",INDEX(Working!$A$2:INDEX(Working!$A:$A, MATCH("zzz", Working!$A:$A)), MOD(ROW()-ROW(E$2)+E$1, COUNTA(Working!$A$2:INDEX(Working!$A:$A, MATCH("zzz", Working!$A:$A)))) + 1))</f>
        <v/>
      </c>
      <c r="F72" t="str" cm="1">
        <f t="array" ref="F72">IF(Working!$A72="","",INDEX(Working!$A$2:INDEX(Working!$A:$A, MATCH("zzz", Working!$A:$A)), MOD(ROW()-ROW(F$2)+F$1, COUNTA(Working!$A$2:INDEX(Working!$A:$A, MATCH("zzz", Working!$A:$A)))) + 1))</f>
        <v/>
      </c>
      <c r="G72" t="str" cm="1">
        <f t="array" ref="G72">IF(Working!$A72="","",INDEX(Working!$A$2:INDEX(Working!$A:$A, MATCH("zzz", Working!$A:$A)), MOD(ROW()-ROW(G$2)+G$1, COUNTA(Working!$A$2:INDEX(Working!$A:$A, MATCH("zzz", Working!$A:$A)))) + 1))</f>
        <v/>
      </c>
      <c r="H72" t="str" cm="1">
        <f t="array" ref="H72">IF(Working!$A72="","",INDEX(Working!$A$2:INDEX(Working!$A:$A, MATCH("zzz", Working!$A:$A)), MOD(ROW()-ROW(H$2)+H$1, COUNTA(Working!$A$2:INDEX(Working!$A:$A, MATCH("zzz", Working!$A:$A)))) + 1))</f>
        <v/>
      </c>
      <c r="I72" t="str" cm="1">
        <f t="array" ref="I72">IF(Working!$A72="","",INDEX(Working!$A$2:INDEX(Working!$A:$A, MATCH("zzz", Working!$A:$A)), MOD(ROW()-ROW(I$2)+I$1, COUNTA(Working!$A$2:INDEX(Working!$A:$A, MATCH("zzz", Working!$A:$A)))) + 1))</f>
        <v/>
      </c>
      <c r="J72" t="str" cm="1">
        <f t="array" ref="J72">IF(Working!$A72="","",INDEX(Working!$A$2:INDEX(Working!$A:$A, MATCH("zzz", Working!$A:$A)), MOD(ROW()-ROW(J$2)+J$1, COUNTA(Working!$A$2:INDEX(Working!$A:$A, MATCH("zzz", Working!$A:$A)))) + 1))</f>
        <v/>
      </c>
      <c r="K72" t="str" cm="1">
        <f t="array" ref="K72">IF(Working!$A72="","",INDEX(Working!$A$2:INDEX(Working!$A:$A, MATCH("zzz", Working!$A:$A)), MOD(ROW()-ROW(K$2)+K$1, COUNTA(Working!$A$2:INDEX(Working!$A:$A, MATCH("zzz", Working!$A:$A)))) + 1))</f>
        <v/>
      </c>
      <c r="L72" t="str" cm="1">
        <f t="array" ref="L72">IF(Working!$A72="","",INDEX(Working!$A$2:INDEX(Working!$A:$A, MATCH("zzz", Working!$A:$A)), MOD(ROW()-ROW(L$2)+L$1, COUNTA(Working!$A$2:INDEX(Working!$A:$A, MATCH("zzz", Working!$A:$A)))) + 1))</f>
        <v/>
      </c>
    </row>
    <row r="73" spans="3:12" ht="15.75" customHeight="1" x14ac:dyDescent="0.2">
      <c r="C73" t="str" cm="1">
        <f t="array" ref="C73">IF(Working!$A73="","",INDEX(Working!$A$2:INDEX(Working!$A:$A, MATCH("zzz", Working!$A:$A)), MOD(ROW()-ROW(C$2)+C$1, COUNTA(Working!$A$2:INDEX(Working!$A:$A, MATCH("zzz", Working!$A:$A)))) + 1))</f>
        <v/>
      </c>
      <c r="D73" t="str" cm="1">
        <f t="array" ref="D73">IF(Working!$A73="","",INDEX(Working!$A$2:INDEX(Working!$A:$A, MATCH("zzz", Working!$A:$A)), MOD(ROW()-ROW(D$2)+D$1, COUNTA(Working!$A$2:INDEX(Working!$A:$A, MATCH("zzz", Working!$A:$A)))) + 1))</f>
        <v/>
      </c>
      <c r="E73" t="str" cm="1">
        <f t="array" ref="E73">IF(Working!$A73="","",INDEX(Working!$A$2:INDEX(Working!$A:$A, MATCH("zzz", Working!$A:$A)), MOD(ROW()-ROW(E$2)+E$1, COUNTA(Working!$A$2:INDEX(Working!$A:$A, MATCH("zzz", Working!$A:$A)))) + 1))</f>
        <v/>
      </c>
      <c r="F73" t="str" cm="1">
        <f t="array" ref="F73">IF(Working!$A73="","",INDEX(Working!$A$2:INDEX(Working!$A:$A, MATCH("zzz", Working!$A:$A)), MOD(ROW()-ROW(F$2)+F$1, COUNTA(Working!$A$2:INDEX(Working!$A:$A, MATCH("zzz", Working!$A:$A)))) + 1))</f>
        <v/>
      </c>
      <c r="G73" t="str" cm="1">
        <f t="array" ref="G73">IF(Working!$A73="","",INDEX(Working!$A$2:INDEX(Working!$A:$A, MATCH("zzz", Working!$A:$A)), MOD(ROW()-ROW(G$2)+G$1, COUNTA(Working!$A$2:INDEX(Working!$A:$A, MATCH("zzz", Working!$A:$A)))) + 1))</f>
        <v/>
      </c>
      <c r="H73" t="str" cm="1">
        <f t="array" ref="H73">IF(Working!$A73="","",INDEX(Working!$A$2:INDEX(Working!$A:$A, MATCH("zzz", Working!$A:$A)), MOD(ROW()-ROW(H$2)+H$1, COUNTA(Working!$A$2:INDEX(Working!$A:$A, MATCH("zzz", Working!$A:$A)))) + 1))</f>
        <v/>
      </c>
      <c r="I73" t="str" cm="1">
        <f t="array" ref="I73">IF(Working!$A73="","",INDEX(Working!$A$2:INDEX(Working!$A:$A, MATCH("zzz", Working!$A:$A)), MOD(ROW()-ROW(I$2)+I$1, COUNTA(Working!$A$2:INDEX(Working!$A:$A, MATCH("zzz", Working!$A:$A)))) + 1))</f>
        <v/>
      </c>
      <c r="J73" t="str" cm="1">
        <f t="array" ref="J73">IF(Working!$A73="","",INDEX(Working!$A$2:INDEX(Working!$A:$A, MATCH("zzz", Working!$A:$A)), MOD(ROW()-ROW(J$2)+J$1, COUNTA(Working!$A$2:INDEX(Working!$A:$A, MATCH("zzz", Working!$A:$A)))) + 1))</f>
        <v/>
      </c>
      <c r="K73" t="str" cm="1">
        <f t="array" ref="K73">IF(Working!$A73="","",INDEX(Working!$A$2:INDEX(Working!$A:$A, MATCH("zzz", Working!$A:$A)), MOD(ROW()-ROW(K$2)+K$1, COUNTA(Working!$A$2:INDEX(Working!$A:$A, MATCH("zzz", Working!$A:$A)))) + 1))</f>
        <v/>
      </c>
      <c r="L73" t="str" cm="1">
        <f t="array" ref="L73">IF(Working!$A73="","",INDEX(Working!$A$2:INDEX(Working!$A:$A, MATCH("zzz", Working!$A:$A)), MOD(ROW()-ROW(L$2)+L$1, COUNTA(Working!$A$2:INDEX(Working!$A:$A, MATCH("zzz", Working!$A:$A)))) + 1))</f>
        <v/>
      </c>
    </row>
    <row r="74" spans="3:12" ht="15.75" customHeight="1" x14ac:dyDescent="0.2">
      <c r="C74" t="str" cm="1">
        <f t="array" ref="C74">IF(Working!$A74="","",INDEX(Working!$A$2:INDEX(Working!$A:$A, MATCH("zzz", Working!$A:$A)), MOD(ROW()-ROW(C$2)+C$1, COUNTA(Working!$A$2:INDEX(Working!$A:$A, MATCH("zzz", Working!$A:$A)))) + 1))</f>
        <v/>
      </c>
      <c r="D74" t="str" cm="1">
        <f t="array" ref="D74">IF(Working!$A74="","",INDEX(Working!$A$2:INDEX(Working!$A:$A, MATCH("zzz", Working!$A:$A)), MOD(ROW()-ROW(D$2)+D$1, COUNTA(Working!$A$2:INDEX(Working!$A:$A, MATCH("zzz", Working!$A:$A)))) + 1))</f>
        <v/>
      </c>
      <c r="E74" t="str" cm="1">
        <f t="array" ref="E74">IF(Working!$A74="","",INDEX(Working!$A$2:INDEX(Working!$A:$A, MATCH("zzz", Working!$A:$A)), MOD(ROW()-ROW(E$2)+E$1, COUNTA(Working!$A$2:INDEX(Working!$A:$A, MATCH("zzz", Working!$A:$A)))) + 1))</f>
        <v/>
      </c>
      <c r="F74" t="str" cm="1">
        <f t="array" ref="F74">IF(Working!$A74="","",INDEX(Working!$A$2:INDEX(Working!$A:$A, MATCH("zzz", Working!$A:$A)), MOD(ROW()-ROW(F$2)+F$1, COUNTA(Working!$A$2:INDEX(Working!$A:$A, MATCH("zzz", Working!$A:$A)))) + 1))</f>
        <v/>
      </c>
      <c r="G74" t="str" cm="1">
        <f t="array" ref="G74">IF(Working!$A74="","",INDEX(Working!$A$2:INDEX(Working!$A:$A, MATCH("zzz", Working!$A:$A)), MOD(ROW()-ROW(G$2)+G$1, COUNTA(Working!$A$2:INDEX(Working!$A:$A, MATCH("zzz", Working!$A:$A)))) + 1))</f>
        <v/>
      </c>
      <c r="H74" t="str" cm="1">
        <f t="array" ref="H74">IF(Working!$A74="","",INDEX(Working!$A$2:INDEX(Working!$A:$A, MATCH("zzz", Working!$A:$A)), MOD(ROW()-ROW(H$2)+H$1, COUNTA(Working!$A$2:INDEX(Working!$A:$A, MATCH("zzz", Working!$A:$A)))) + 1))</f>
        <v/>
      </c>
      <c r="I74" t="str" cm="1">
        <f t="array" ref="I74">IF(Working!$A74="","",INDEX(Working!$A$2:INDEX(Working!$A:$A, MATCH("zzz", Working!$A:$A)), MOD(ROW()-ROW(I$2)+I$1, COUNTA(Working!$A$2:INDEX(Working!$A:$A, MATCH("zzz", Working!$A:$A)))) + 1))</f>
        <v/>
      </c>
      <c r="J74" t="str" cm="1">
        <f t="array" ref="J74">IF(Working!$A74="","",INDEX(Working!$A$2:INDEX(Working!$A:$A, MATCH("zzz", Working!$A:$A)), MOD(ROW()-ROW(J$2)+J$1, COUNTA(Working!$A$2:INDEX(Working!$A:$A, MATCH("zzz", Working!$A:$A)))) + 1))</f>
        <v/>
      </c>
      <c r="K74" t="str" cm="1">
        <f t="array" ref="K74">IF(Working!$A74="","",INDEX(Working!$A$2:INDEX(Working!$A:$A, MATCH("zzz", Working!$A:$A)), MOD(ROW()-ROW(K$2)+K$1, COUNTA(Working!$A$2:INDEX(Working!$A:$A, MATCH("zzz", Working!$A:$A)))) + 1))</f>
        <v/>
      </c>
      <c r="L74" t="str" cm="1">
        <f t="array" ref="L74">IF(Working!$A74="","",INDEX(Working!$A$2:INDEX(Working!$A:$A, MATCH("zzz", Working!$A:$A)), MOD(ROW()-ROW(L$2)+L$1, COUNTA(Working!$A$2:INDEX(Working!$A:$A, MATCH("zzz", Working!$A:$A)))) + 1))</f>
        <v/>
      </c>
    </row>
    <row r="75" spans="3:12" ht="15.75" customHeight="1" x14ac:dyDescent="0.2">
      <c r="C75" t="str" cm="1">
        <f t="array" ref="C75">IF(Working!$A75="","",INDEX(Working!$A$2:INDEX(Working!$A:$A, MATCH("zzz", Working!$A:$A)), MOD(ROW()-ROW(C$2)+C$1, COUNTA(Working!$A$2:INDEX(Working!$A:$A, MATCH("zzz", Working!$A:$A)))) + 1))</f>
        <v/>
      </c>
      <c r="D75" t="str" cm="1">
        <f t="array" ref="D75">IF(Working!$A75="","",INDEX(Working!$A$2:INDEX(Working!$A:$A, MATCH("zzz", Working!$A:$A)), MOD(ROW()-ROW(D$2)+D$1, COUNTA(Working!$A$2:INDEX(Working!$A:$A, MATCH("zzz", Working!$A:$A)))) + 1))</f>
        <v/>
      </c>
      <c r="E75" t="str" cm="1">
        <f t="array" ref="E75">IF(Working!$A75="","",INDEX(Working!$A$2:INDEX(Working!$A:$A, MATCH("zzz", Working!$A:$A)), MOD(ROW()-ROW(E$2)+E$1, COUNTA(Working!$A$2:INDEX(Working!$A:$A, MATCH("zzz", Working!$A:$A)))) + 1))</f>
        <v/>
      </c>
      <c r="F75" t="str" cm="1">
        <f t="array" ref="F75">IF(Working!$A75="","",INDEX(Working!$A$2:INDEX(Working!$A:$A, MATCH("zzz", Working!$A:$A)), MOD(ROW()-ROW(F$2)+F$1, COUNTA(Working!$A$2:INDEX(Working!$A:$A, MATCH("zzz", Working!$A:$A)))) + 1))</f>
        <v/>
      </c>
      <c r="G75" t="str" cm="1">
        <f t="array" ref="G75">IF(Working!$A75="","",INDEX(Working!$A$2:INDEX(Working!$A:$A, MATCH("zzz", Working!$A:$A)), MOD(ROW()-ROW(G$2)+G$1, COUNTA(Working!$A$2:INDEX(Working!$A:$A, MATCH("zzz", Working!$A:$A)))) + 1))</f>
        <v/>
      </c>
      <c r="H75" t="str" cm="1">
        <f t="array" ref="H75">IF(Working!$A75="","",INDEX(Working!$A$2:INDEX(Working!$A:$A, MATCH("zzz", Working!$A:$A)), MOD(ROW()-ROW(H$2)+H$1, COUNTA(Working!$A$2:INDEX(Working!$A:$A, MATCH("zzz", Working!$A:$A)))) + 1))</f>
        <v/>
      </c>
      <c r="I75" t="str" cm="1">
        <f t="array" ref="I75">IF(Working!$A75="","",INDEX(Working!$A$2:INDEX(Working!$A:$A, MATCH("zzz", Working!$A:$A)), MOD(ROW()-ROW(I$2)+I$1, COUNTA(Working!$A$2:INDEX(Working!$A:$A, MATCH("zzz", Working!$A:$A)))) + 1))</f>
        <v/>
      </c>
      <c r="J75" t="str" cm="1">
        <f t="array" ref="J75">IF(Working!$A75="","",INDEX(Working!$A$2:INDEX(Working!$A:$A, MATCH("zzz", Working!$A:$A)), MOD(ROW()-ROW(J$2)+J$1, COUNTA(Working!$A$2:INDEX(Working!$A:$A, MATCH("zzz", Working!$A:$A)))) + 1))</f>
        <v/>
      </c>
      <c r="K75" t="str" cm="1">
        <f t="array" ref="K75">IF(Working!$A75="","",INDEX(Working!$A$2:INDEX(Working!$A:$A, MATCH("zzz", Working!$A:$A)), MOD(ROW()-ROW(K$2)+K$1, COUNTA(Working!$A$2:INDEX(Working!$A:$A, MATCH("zzz", Working!$A:$A)))) + 1))</f>
        <v/>
      </c>
      <c r="L75" t="str" cm="1">
        <f t="array" ref="L75">IF(Working!$A75="","",INDEX(Working!$A$2:INDEX(Working!$A:$A, MATCH("zzz", Working!$A:$A)), MOD(ROW()-ROW(L$2)+L$1, COUNTA(Working!$A$2:INDEX(Working!$A:$A, MATCH("zzz", Working!$A:$A)))) + 1))</f>
        <v/>
      </c>
    </row>
    <row r="76" spans="3:12" ht="15.75" customHeight="1" x14ac:dyDescent="0.2">
      <c r="C76" t="str" cm="1">
        <f t="array" ref="C76">IF(Working!$A76="","",INDEX(Working!$A$2:INDEX(Working!$A:$A, MATCH("zzz", Working!$A:$A)), MOD(ROW()-ROW(C$2)+C$1, COUNTA(Working!$A$2:INDEX(Working!$A:$A, MATCH("zzz", Working!$A:$A)))) + 1))</f>
        <v/>
      </c>
      <c r="D76" t="str" cm="1">
        <f t="array" ref="D76">IF(Working!$A76="","",INDEX(Working!$A$2:INDEX(Working!$A:$A, MATCH("zzz", Working!$A:$A)), MOD(ROW()-ROW(D$2)+D$1, COUNTA(Working!$A$2:INDEX(Working!$A:$A, MATCH("zzz", Working!$A:$A)))) + 1))</f>
        <v/>
      </c>
      <c r="E76" t="str" cm="1">
        <f t="array" ref="E76">IF(Working!$A76="","",INDEX(Working!$A$2:INDEX(Working!$A:$A, MATCH("zzz", Working!$A:$A)), MOD(ROW()-ROW(E$2)+E$1, COUNTA(Working!$A$2:INDEX(Working!$A:$A, MATCH("zzz", Working!$A:$A)))) + 1))</f>
        <v/>
      </c>
      <c r="F76" t="str" cm="1">
        <f t="array" ref="F76">IF(Working!$A76="","",INDEX(Working!$A$2:INDEX(Working!$A:$A, MATCH("zzz", Working!$A:$A)), MOD(ROW()-ROW(F$2)+F$1, COUNTA(Working!$A$2:INDEX(Working!$A:$A, MATCH("zzz", Working!$A:$A)))) + 1))</f>
        <v/>
      </c>
      <c r="G76" t="str" cm="1">
        <f t="array" ref="G76">IF(Working!$A76="","",INDEX(Working!$A$2:INDEX(Working!$A:$A, MATCH("zzz", Working!$A:$A)), MOD(ROW()-ROW(G$2)+G$1, COUNTA(Working!$A$2:INDEX(Working!$A:$A, MATCH("zzz", Working!$A:$A)))) + 1))</f>
        <v/>
      </c>
      <c r="H76" t="str" cm="1">
        <f t="array" ref="H76">IF(Working!$A76="","",INDEX(Working!$A$2:INDEX(Working!$A:$A, MATCH("zzz", Working!$A:$A)), MOD(ROW()-ROW(H$2)+H$1, COUNTA(Working!$A$2:INDEX(Working!$A:$A, MATCH("zzz", Working!$A:$A)))) + 1))</f>
        <v/>
      </c>
      <c r="I76" t="str" cm="1">
        <f t="array" ref="I76">IF(Working!$A76="","",INDEX(Working!$A$2:INDEX(Working!$A:$A, MATCH("zzz", Working!$A:$A)), MOD(ROW()-ROW(I$2)+I$1, COUNTA(Working!$A$2:INDEX(Working!$A:$A, MATCH("zzz", Working!$A:$A)))) + 1))</f>
        <v/>
      </c>
      <c r="J76" t="str" cm="1">
        <f t="array" ref="J76">IF(Working!$A76="","",INDEX(Working!$A$2:INDEX(Working!$A:$A, MATCH("zzz", Working!$A:$A)), MOD(ROW()-ROW(J$2)+J$1, COUNTA(Working!$A$2:INDEX(Working!$A:$A, MATCH("zzz", Working!$A:$A)))) + 1))</f>
        <v/>
      </c>
      <c r="K76" t="str" cm="1">
        <f t="array" ref="K76">IF(Working!$A76="","",INDEX(Working!$A$2:INDEX(Working!$A:$A, MATCH("zzz", Working!$A:$A)), MOD(ROW()-ROW(K$2)+K$1, COUNTA(Working!$A$2:INDEX(Working!$A:$A, MATCH("zzz", Working!$A:$A)))) + 1))</f>
        <v/>
      </c>
      <c r="L76" t="str" cm="1">
        <f t="array" ref="L76">IF(Working!$A76="","",INDEX(Working!$A$2:INDEX(Working!$A:$A, MATCH("zzz", Working!$A:$A)), MOD(ROW()-ROW(L$2)+L$1, COUNTA(Working!$A$2:INDEX(Working!$A:$A, MATCH("zzz", Working!$A:$A)))) + 1))</f>
        <v/>
      </c>
    </row>
    <row r="77" spans="3:12" ht="15.75" customHeight="1" x14ac:dyDescent="0.2">
      <c r="C77" t="str" cm="1">
        <f t="array" ref="C77">IF(Working!$A77="","",INDEX(Working!$A$2:INDEX(Working!$A:$A, MATCH("zzz", Working!$A:$A)), MOD(ROW()-ROW(C$2)+C$1, COUNTA(Working!$A$2:INDEX(Working!$A:$A, MATCH("zzz", Working!$A:$A)))) + 1))</f>
        <v/>
      </c>
      <c r="D77" t="str" cm="1">
        <f t="array" ref="D77">IF(Working!$A77="","",INDEX(Working!$A$2:INDEX(Working!$A:$A, MATCH("zzz", Working!$A:$A)), MOD(ROW()-ROW(D$2)+D$1, COUNTA(Working!$A$2:INDEX(Working!$A:$A, MATCH("zzz", Working!$A:$A)))) + 1))</f>
        <v/>
      </c>
      <c r="E77" t="str" cm="1">
        <f t="array" ref="E77">IF(Working!$A77="","",INDEX(Working!$A$2:INDEX(Working!$A:$A, MATCH("zzz", Working!$A:$A)), MOD(ROW()-ROW(E$2)+E$1, COUNTA(Working!$A$2:INDEX(Working!$A:$A, MATCH("zzz", Working!$A:$A)))) + 1))</f>
        <v/>
      </c>
      <c r="F77" t="str" cm="1">
        <f t="array" ref="F77">IF(Working!$A77="","",INDEX(Working!$A$2:INDEX(Working!$A:$A, MATCH("zzz", Working!$A:$A)), MOD(ROW()-ROW(F$2)+F$1, COUNTA(Working!$A$2:INDEX(Working!$A:$A, MATCH("zzz", Working!$A:$A)))) + 1))</f>
        <v/>
      </c>
      <c r="G77" t="str" cm="1">
        <f t="array" ref="G77">IF(Working!$A77="","",INDEX(Working!$A$2:INDEX(Working!$A:$A, MATCH("zzz", Working!$A:$A)), MOD(ROW()-ROW(G$2)+G$1, COUNTA(Working!$A$2:INDEX(Working!$A:$A, MATCH("zzz", Working!$A:$A)))) + 1))</f>
        <v/>
      </c>
      <c r="H77" t="str" cm="1">
        <f t="array" ref="H77">IF(Working!$A77="","",INDEX(Working!$A$2:INDEX(Working!$A:$A, MATCH("zzz", Working!$A:$A)), MOD(ROW()-ROW(H$2)+H$1, COUNTA(Working!$A$2:INDEX(Working!$A:$A, MATCH("zzz", Working!$A:$A)))) + 1))</f>
        <v/>
      </c>
      <c r="I77" t="str" cm="1">
        <f t="array" ref="I77">IF(Working!$A77="","",INDEX(Working!$A$2:INDEX(Working!$A:$A, MATCH("zzz", Working!$A:$A)), MOD(ROW()-ROW(I$2)+I$1, COUNTA(Working!$A$2:INDEX(Working!$A:$A, MATCH("zzz", Working!$A:$A)))) + 1))</f>
        <v/>
      </c>
      <c r="J77" t="str" cm="1">
        <f t="array" ref="J77">IF(Working!$A77="","",INDEX(Working!$A$2:INDEX(Working!$A:$A, MATCH("zzz", Working!$A:$A)), MOD(ROW()-ROW(J$2)+J$1, COUNTA(Working!$A$2:INDEX(Working!$A:$A, MATCH("zzz", Working!$A:$A)))) + 1))</f>
        <v/>
      </c>
      <c r="K77" t="str" cm="1">
        <f t="array" ref="K77">IF(Working!$A77="","",INDEX(Working!$A$2:INDEX(Working!$A:$A, MATCH("zzz", Working!$A:$A)), MOD(ROW()-ROW(K$2)+K$1, COUNTA(Working!$A$2:INDEX(Working!$A:$A, MATCH("zzz", Working!$A:$A)))) + 1))</f>
        <v/>
      </c>
      <c r="L77" t="str" cm="1">
        <f t="array" ref="L77">IF(Working!$A77="","",INDEX(Working!$A$2:INDEX(Working!$A:$A, MATCH("zzz", Working!$A:$A)), MOD(ROW()-ROW(L$2)+L$1, COUNTA(Working!$A$2:INDEX(Working!$A:$A, MATCH("zzz", Working!$A:$A)))) + 1))</f>
        <v/>
      </c>
    </row>
    <row r="78" spans="3:12" ht="15.75" customHeight="1" x14ac:dyDescent="0.2">
      <c r="C78" t="str" cm="1">
        <f t="array" ref="C78">IF(Working!$A78="","",INDEX(Working!$A$2:INDEX(Working!$A:$A, MATCH("zzz", Working!$A:$A)), MOD(ROW()-ROW(C$2)+C$1, COUNTA(Working!$A$2:INDEX(Working!$A:$A, MATCH("zzz", Working!$A:$A)))) + 1))</f>
        <v/>
      </c>
      <c r="D78" t="str" cm="1">
        <f t="array" ref="D78">IF(Working!$A78="","",INDEX(Working!$A$2:INDEX(Working!$A:$A, MATCH("zzz", Working!$A:$A)), MOD(ROW()-ROW(D$2)+D$1, COUNTA(Working!$A$2:INDEX(Working!$A:$A, MATCH("zzz", Working!$A:$A)))) + 1))</f>
        <v/>
      </c>
      <c r="E78" t="str" cm="1">
        <f t="array" ref="E78">IF(Working!$A78="","",INDEX(Working!$A$2:INDEX(Working!$A:$A, MATCH("zzz", Working!$A:$A)), MOD(ROW()-ROW(E$2)+E$1, COUNTA(Working!$A$2:INDEX(Working!$A:$A, MATCH("zzz", Working!$A:$A)))) + 1))</f>
        <v/>
      </c>
      <c r="F78" t="str" cm="1">
        <f t="array" ref="F78">IF(Working!$A78="","",INDEX(Working!$A$2:INDEX(Working!$A:$A, MATCH("zzz", Working!$A:$A)), MOD(ROW()-ROW(F$2)+F$1, COUNTA(Working!$A$2:INDEX(Working!$A:$A, MATCH("zzz", Working!$A:$A)))) + 1))</f>
        <v/>
      </c>
      <c r="G78" t="str" cm="1">
        <f t="array" ref="G78">IF(Working!$A78="","",INDEX(Working!$A$2:INDEX(Working!$A:$A, MATCH("zzz", Working!$A:$A)), MOD(ROW()-ROW(G$2)+G$1, COUNTA(Working!$A$2:INDEX(Working!$A:$A, MATCH("zzz", Working!$A:$A)))) + 1))</f>
        <v/>
      </c>
      <c r="H78" t="str" cm="1">
        <f t="array" ref="H78">IF(Working!$A78="","",INDEX(Working!$A$2:INDEX(Working!$A:$A, MATCH("zzz", Working!$A:$A)), MOD(ROW()-ROW(H$2)+H$1, COUNTA(Working!$A$2:INDEX(Working!$A:$A, MATCH("zzz", Working!$A:$A)))) + 1))</f>
        <v/>
      </c>
      <c r="I78" t="str" cm="1">
        <f t="array" ref="I78">IF(Working!$A78="","",INDEX(Working!$A$2:INDEX(Working!$A:$A, MATCH("zzz", Working!$A:$A)), MOD(ROW()-ROW(I$2)+I$1, COUNTA(Working!$A$2:INDEX(Working!$A:$A, MATCH("zzz", Working!$A:$A)))) + 1))</f>
        <v/>
      </c>
      <c r="J78" t="str" cm="1">
        <f t="array" ref="J78">IF(Working!$A78="","",INDEX(Working!$A$2:INDEX(Working!$A:$A, MATCH("zzz", Working!$A:$A)), MOD(ROW()-ROW(J$2)+J$1, COUNTA(Working!$A$2:INDEX(Working!$A:$A, MATCH("zzz", Working!$A:$A)))) + 1))</f>
        <v/>
      </c>
      <c r="K78" t="str" cm="1">
        <f t="array" ref="K78">IF(Working!$A78="","",INDEX(Working!$A$2:INDEX(Working!$A:$A, MATCH("zzz", Working!$A:$A)), MOD(ROW()-ROW(K$2)+K$1, COUNTA(Working!$A$2:INDEX(Working!$A:$A, MATCH("zzz", Working!$A:$A)))) + 1))</f>
        <v/>
      </c>
      <c r="L78" t="str" cm="1">
        <f t="array" ref="L78">IF(Working!$A78="","",INDEX(Working!$A$2:INDEX(Working!$A:$A, MATCH("zzz", Working!$A:$A)), MOD(ROW()-ROW(L$2)+L$1, COUNTA(Working!$A$2:INDEX(Working!$A:$A, MATCH("zzz", Working!$A:$A)))) + 1))</f>
        <v/>
      </c>
    </row>
    <row r="79" spans="3:12" ht="15.75" customHeight="1" x14ac:dyDescent="0.2">
      <c r="C79" t="str" cm="1">
        <f t="array" ref="C79">IF(Working!$A79="","",INDEX(Working!$A$2:INDEX(Working!$A:$A, MATCH("zzz", Working!$A:$A)), MOD(ROW()-ROW(C$2)+C$1, COUNTA(Working!$A$2:INDEX(Working!$A:$A, MATCH("zzz", Working!$A:$A)))) + 1))</f>
        <v/>
      </c>
      <c r="D79" t="str" cm="1">
        <f t="array" ref="D79">IF(Working!$A79="","",INDEX(Working!$A$2:INDEX(Working!$A:$A, MATCH("zzz", Working!$A:$A)), MOD(ROW()-ROW(D$2)+D$1, COUNTA(Working!$A$2:INDEX(Working!$A:$A, MATCH("zzz", Working!$A:$A)))) + 1))</f>
        <v/>
      </c>
      <c r="E79" t="str" cm="1">
        <f t="array" ref="E79">IF(Working!$A79="","",INDEX(Working!$A$2:INDEX(Working!$A:$A, MATCH("zzz", Working!$A:$A)), MOD(ROW()-ROW(E$2)+E$1, COUNTA(Working!$A$2:INDEX(Working!$A:$A, MATCH("zzz", Working!$A:$A)))) + 1))</f>
        <v/>
      </c>
      <c r="F79" t="str" cm="1">
        <f t="array" ref="F79">IF(Working!$A79="","",INDEX(Working!$A$2:INDEX(Working!$A:$A, MATCH("zzz", Working!$A:$A)), MOD(ROW()-ROW(F$2)+F$1, COUNTA(Working!$A$2:INDEX(Working!$A:$A, MATCH("zzz", Working!$A:$A)))) + 1))</f>
        <v/>
      </c>
      <c r="G79" t="str" cm="1">
        <f t="array" ref="G79">IF(Working!$A79="","",INDEX(Working!$A$2:INDEX(Working!$A:$A, MATCH("zzz", Working!$A:$A)), MOD(ROW()-ROW(G$2)+G$1, COUNTA(Working!$A$2:INDEX(Working!$A:$A, MATCH("zzz", Working!$A:$A)))) + 1))</f>
        <v/>
      </c>
      <c r="H79" t="str" cm="1">
        <f t="array" ref="H79">IF(Working!$A79="","",INDEX(Working!$A$2:INDEX(Working!$A:$A, MATCH("zzz", Working!$A:$A)), MOD(ROW()-ROW(H$2)+H$1, COUNTA(Working!$A$2:INDEX(Working!$A:$A, MATCH("zzz", Working!$A:$A)))) + 1))</f>
        <v/>
      </c>
      <c r="I79" t="str" cm="1">
        <f t="array" ref="I79">IF(Working!$A79="","",INDEX(Working!$A$2:INDEX(Working!$A:$A, MATCH("zzz", Working!$A:$A)), MOD(ROW()-ROW(I$2)+I$1, COUNTA(Working!$A$2:INDEX(Working!$A:$A, MATCH("zzz", Working!$A:$A)))) + 1))</f>
        <v/>
      </c>
      <c r="J79" t="str" cm="1">
        <f t="array" ref="J79">IF(Working!$A79="","",INDEX(Working!$A$2:INDEX(Working!$A:$A, MATCH("zzz", Working!$A:$A)), MOD(ROW()-ROW(J$2)+J$1, COUNTA(Working!$A$2:INDEX(Working!$A:$A, MATCH("zzz", Working!$A:$A)))) + 1))</f>
        <v/>
      </c>
      <c r="K79" t="str" cm="1">
        <f t="array" ref="K79">IF(Working!$A79="","",INDEX(Working!$A$2:INDEX(Working!$A:$A, MATCH("zzz", Working!$A:$A)), MOD(ROW()-ROW(K$2)+K$1, COUNTA(Working!$A$2:INDEX(Working!$A:$A, MATCH("zzz", Working!$A:$A)))) + 1))</f>
        <v/>
      </c>
      <c r="L79" t="str" cm="1">
        <f t="array" ref="L79">IF(Working!$A79="","",INDEX(Working!$A$2:INDEX(Working!$A:$A, MATCH("zzz", Working!$A:$A)), MOD(ROW()-ROW(L$2)+L$1, COUNTA(Working!$A$2:INDEX(Working!$A:$A, MATCH("zzz", Working!$A:$A)))) + 1))</f>
        <v/>
      </c>
    </row>
    <row r="80" spans="3:12" ht="15.75" customHeight="1" x14ac:dyDescent="0.2">
      <c r="C80" t="str" cm="1">
        <f t="array" ref="C80">IF(Working!$A80="","",INDEX(Working!$A$2:INDEX(Working!$A:$A, MATCH("zzz", Working!$A:$A)), MOD(ROW()-ROW(C$2)+C$1, COUNTA(Working!$A$2:INDEX(Working!$A:$A, MATCH("zzz", Working!$A:$A)))) + 1))</f>
        <v/>
      </c>
      <c r="D80" t="str" cm="1">
        <f t="array" ref="D80">IF(Working!$A80="","",INDEX(Working!$A$2:INDEX(Working!$A:$A, MATCH("zzz", Working!$A:$A)), MOD(ROW()-ROW(D$2)+D$1, COUNTA(Working!$A$2:INDEX(Working!$A:$A, MATCH("zzz", Working!$A:$A)))) + 1))</f>
        <v/>
      </c>
      <c r="E80" t="str" cm="1">
        <f t="array" ref="E80">IF(Working!$A80="","",INDEX(Working!$A$2:INDEX(Working!$A:$A, MATCH("zzz", Working!$A:$A)), MOD(ROW()-ROW(E$2)+E$1, COUNTA(Working!$A$2:INDEX(Working!$A:$A, MATCH("zzz", Working!$A:$A)))) + 1))</f>
        <v/>
      </c>
      <c r="F80" t="str" cm="1">
        <f t="array" ref="F80">IF(Working!$A80="","",INDEX(Working!$A$2:INDEX(Working!$A:$A, MATCH("zzz", Working!$A:$A)), MOD(ROW()-ROW(F$2)+F$1, COUNTA(Working!$A$2:INDEX(Working!$A:$A, MATCH("zzz", Working!$A:$A)))) + 1))</f>
        <v/>
      </c>
      <c r="G80" t="str" cm="1">
        <f t="array" ref="G80">IF(Working!$A80="","",INDEX(Working!$A$2:INDEX(Working!$A:$A, MATCH("zzz", Working!$A:$A)), MOD(ROW()-ROW(G$2)+G$1, COUNTA(Working!$A$2:INDEX(Working!$A:$A, MATCH("zzz", Working!$A:$A)))) + 1))</f>
        <v/>
      </c>
      <c r="H80" t="str" cm="1">
        <f t="array" ref="H80">IF(Working!$A80="","",INDEX(Working!$A$2:INDEX(Working!$A:$A, MATCH("zzz", Working!$A:$A)), MOD(ROW()-ROW(H$2)+H$1, COUNTA(Working!$A$2:INDEX(Working!$A:$A, MATCH("zzz", Working!$A:$A)))) + 1))</f>
        <v/>
      </c>
      <c r="I80" t="str" cm="1">
        <f t="array" ref="I80">IF(Working!$A80="","",INDEX(Working!$A$2:INDEX(Working!$A:$A, MATCH("zzz", Working!$A:$A)), MOD(ROW()-ROW(I$2)+I$1, COUNTA(Working!$A$2:INDEX(Working!$A:$A, MATCH("zzz", Working!$A:$A)))) + 1))</f>
        <v/>
      </c>
      <c r="J80" t="str" cm="1">
        <f t="array" ref="J80">IF(Working!$A80="","",INDEX(Working!$A$2:INDEX(Working!$A:$A, MATCH("zzz", Working!$A:$A)), MOD(ROW()-ROW(J$2)+J$1, COUNTA(Working!$A$2:INDEX(Working!$A:$A, MATCH("zzz", Working!$A:$A)))) + 1))</f>
        <v/>
      </c>
      <c r="K80" t="str" cm="1">
        <f t="array" ref="K80">IF(Working!$A80="","",INDEX(Working!$A$2:INDEX(Working!$A:$A, MATCH("zzz", Working!$A:$A)), MOD(ROW()-ROW(K$2)+K$1, COUNTA(Working!$A$2:INDEX(Working!$A:$A, MATCH("zzz", Working!$A:$A)))) + 1))</f>
        <v/>
      </c>
      <c r="L80" t="str" cm="1">
        <f t="array" ref="L80">IF(Working!$A80="","",INDEX(Working!$A$2:INDEX(Working!$A:$A, MATCH("zzz", Working!$A:$A)), MOD(ROW()-ROW(L$2)+L$1, COUNTA(Working!$A$2:INDEX(Working!$A:$A, MATCH("zzz", Working!$A:$A)))) + 1))</f>
        <v/>
      </c>
    </row>
    <row r="81" spans="3:12" ht="15.75" customHeight="1" x14ac:dyDescent="0.2">
      <c r="C81" t="str" cm="1">
        <f t="array" ref="C81">IF(Working!$A81="","",INDEX(Working!$A$2:INDEX(Working!$A:$A, MATCH("zzz", Working!$A:$A)), MOD(ROW()-ROW(C$2)+C$1, COUNTA(Working!$A$2:INDEX(Working!$A:$A, MATCH("zzz", Working!$A:$A)))) + 1))</f>
        <v/>
      </c>
      <c r="D81" t="str" cm="1">
        <f t="array" ref="D81">IF(Working!$A81="","",INDEX(Working!$A$2:INDEX(Working!$A:$A, MATCH("zzz", Working!$A:$A)), MOD(ROW()-ROW(D$2)+D$1, COUNTA(Working!$A$2:INDEX(Working!$A:$A, MATCH("zzz", Working!$A:$A)))) + 1))</f>
        <v/>
      </c>
      <c r="E81" t="str" cm="1">
        <f t="array" ref="E81">IF(Working!$A81="","",INDEX(Working!$A$2:INDEX(Working!$A:$A, MATCH("zzz", Working!$A:$A)), MOD(ROW()-ROW(E$2)+E$1, COUNTA(Working!$A$2:INDEX(Working!$A:$A, MATCH("zzz", Working!$A:$A)))) + 1))</f>
        <v/>
      </c>
      <c r="F81" t="str" cm="1">
        <f t="array" ref="F81">IF(Working!$A81="","",INDEX(Working!$A$2:INDEX(Working!$A:$A, MATCH("zzz", Working!$A:$A)), MOD(ROW()-ROW(F$2)+F$1, COUNTA(Working!$A$2:INDEX(Working!$A:$A, MATCH("zzz", Working!$A:$A)))) + 1))</f>
        <v/>
      </c>
      <c r="G81" t="str" cm="1">
        <f t="array" ref="G81">IF(Working!$A81="","",INDEX(Working!$A$2:INDEX(Working!$A:$A, MATCH("zzz", Working!$A:$A)), MOD(ROW()-ROW(G$2)+G$1, COUNTA(Working!$A$2:INDEX(Working!$A:$A, MATCH("zzz", Working!$A:$A)))) + 1))</f>
        <v/>
      </c>
      <c r="H81" t="str" cm="1">
        <f t="array" ref="H81">IF(Working!$A81="","",INDEX(Working!$A$2:INDEX(Working!$A:$A, MATCH("zzz", Working!$A:$A)), MOD(ROW()-ROW(H$2)+H$1, COUNTA(Working!$A$2:INDEX(Working!$A:$A, MATCH("zzz", Working!$A:$A)))) + 1))</f>
        <v/>
      </c>
      <c r="I81" t="str" cm="1">
        <f t="array" ref="I81">IF(Working!$A81="","",INDEX(Working!$A$2:INDEX(Working!$A:$A, MATCH("zzz", Working!$A:$A)), MOD(ROW()-ROW(I$2)+I$1, COUNTA(Working!$A$2:INDEX(Working!$A:$A, MATCH("zzz", Working!$A:$A)))) + 1))</f>
        <v/>
      </c>
      <c r="J81" t="str" cm="1">
        <f t="array" ref="J81">IF(Working!$A81="","",INDEX(Working!$A$2:INDEX(Working!$A:$A, MATCH("zzz", Working!$A:$A)), MOD(ROW()-ROW(J$2)+J$1, COUNTA(Working!$A$2:INDEX(Working!$A:$A, MATCH("zzz", Working!$A:$A)))) + 1))</f>
        <v/>
      </c>
      <c r="K81" t="str" cm="1">
        <f t="array" ref="K81">IF(Working!$A81="","",INDEX(Working!$A$2:INDEX(Working!$A:$A, MATCH("zzz", Working!$A:$A)), MOD(ROW()-ROW(K$2)+K$1, COUNTA(Working!$A$2:INDEX(Working!$A:$A, MATCH("zzz", Working!$A:$A)))) + 1))</f>
        <v/>
      </c>
      <c r="L81" t="str" cm="1">
        <f t="array" ref="L81">IF(Working!$A81="","",INDEX(Working!$A$2:INDEX(Working!$A:$A, MATCH("zzz", Working!$A:$A)), MOD(ROW()-ROW(L$2)+L$1, COUNTA(Working!$A$2:INDEX(Working!$A:$A, MATCH("zzz", Working!$A:$A)))) + 1))</f>
        <v/>
      </c>
    </row>
    <row r="82" spans="3:12" ht="15.75" customHeight="1" x14ac:dyDescent="0.2">
      <c r="C82" t="str" cm="1">
        <f t="array" ref="C82">IF(Working!$A82="","",INDEX(Working!$A$2:INDEX(Working!$A:$A, MATCH("zzz", Working!$A:$A)), MOD(ROW()-ROW(C$2)+C$1, COUNTA(Working!$A$2:INDEX(Working!$A:$A, MATCH("zzz", Working!$A:$A)))) + 1))</f>
        <v/>
      </c>
      <c r="D82" t="str" cm="1">
        <f t="array" ref="D82">IF(Working!$A82="","",INDEX(Working!$A$2:INDEX(Working!$A:$A, MATCH("zzz", Working!$A:$A)), MOD(ROW()-ROW(D$2)+D$1, COUNTA(Working!$A$2:INDEX(Working!$A:$A, MATCH("zzz", Working!$A:$A)))) + 1))</f>
        <v/>
      </c>
      <c r="E82" t="str" cm="1">
        <f t="array" ref="E82">IF(Working!$A82="","",INDEX(Working!$A$2:INDEX(Working!$A:$A, MATCH("zzz", Working!$A:$A)), MOD(ROW()-ROW(E$2)+E$1, COUNTA(Working!$A$2:INDEX(Working!$A:$A, MATCH("zzz", Working!$A:$A)))) + 1))</f>
        <v/>
      </c>
      <c r="F82" t="str" cm="1">
        <f t="array" ref="F82">IF(Working!$A82="","",INDEX(Working!$A$2:INDEX(Working!$A:$A, MATCH("zzz", Working!$A:$A)), MOD(ROW()-ROW(F$2)+F$1, COUNTA(Working!$A$2:INDEX(Working!$A:$A, MATCH("zzz", Working!$A:$A)))) + 1))</f>
        <v/>
      </c>
      <c r="G82" t="str" cm="1">
        <f t="array" ref="G82">IF(Working!$A82="","",INDEX(Working!$A$2:INDEX(Working!$A:$A, MATCH("zzz", Working!$A:$A)), MOD(ROW()-ROW(G$2)+G$1, COUNTA(Working!$A$2:INDEX(Working!$A:$A, MATCH("zzz", Working!$A:$A)))) + 1))</f>
        <v/>
      </c>
      <c r="H82" t="str" cm="1">
        <f t="array" ref="H82">IF(Working!$A82="","",INDEX(Working!$A$2:INDEX(Working!$A:$A, MATCH("zzz", Working!$A:$A)), MOD(ROW()-ROW(H$2)+H$1, COUNTA(Working!$A$2:INDEX(Working!$A:$A, MATCH("zzz", Working!$A:$A)))) + 1))</f>
        <v/>
      </c>
      <c r="I82" t="str" cm="1">
        <f t="array" ref="I82">IF(Working!$A82="","",INDEX(Working!$A$2:INDEX(Working!$A:$A, MATCH("zzz", Working!$A:$A)), MOD(ROW()-ROW(I$2)+I$1, COUNTA(Working!$A$2:INDEX(Working!$A:$A, MATCH("zzz", Working!$A:$A)))) + 1))</f>
        <v/>
      </c>
      <c r="J82" t="str" cm="1">
        <f t="array" ref="J82">IF(Working!$A82="","",INDEX(Working!$A$2:INDEX(Working!$A:$A, MATCH("zzz", Working!$A:$A)), MOD(ROW()-ROW(J$2)+J$1, COUNTA(Working!$A$2:INDEX(Working!$A:$A, MATCH("zzz", Working!$A:$A)))) + 1))</f>
        <v/>
      </c>
      <c r="K82" t="str" cm="1">
        <f t="array" ref="K82">IF(Working!$A82="","",INDEX(Working!$A$2:INDEX(Working!$A:$A, MATCH("zzz", Working!$A:$A)), MOD(ROW()-ROW(K$2)+K$1, COUNTA(Working!$A$2:INDEX(Working!$A:$A, MATCH("zzz", Working!$A:$A)))) + 1))</f>
        <v/>
      </c>
      <c r="L82" t="str" cm="1">
        <f t="array" ref="L82">IF(Working!$A82="","",INDEX(Working!$A$2:INDEX(Working!$A:$A, MATCH("zzz", Working!$A:$A)), MOD(ROW()-ROW(L$2)+L$1, COUNTA(Working!$A$2:INDEX(Working!$A:$A, MATCH("zzz", Working!$A:$A)))) + 1))</f>
        <v/>
      </c>
    </row>
    <row r="83" spans="3:12" ht="15.75" customHeight="1" x14ac:dyDescent="0.2">
      <c r="C83" t="str" cm="1">
        <f t="array" ref="C83">IF(Working!$A83="","",INDEX(Working!$A$2:INDEX(Working!$A:$A, MATCH("zzz", Working!$A:$A)), MOD(ROW()-ROW(C$2)+C$1, COUNTA(Working!$A$2:INDEX(Working!$A:$A, MATCH("zzz", Working!$A:$A)))) + 1))</f>
        <v/>
      </c>
      <c r="D83" t="str" cm="1">
        <f t="array" ref="D83">IF(Working!$A83="","",INDEX(Working!$A$2:INDEX(Working!$A:$A, MATCH("zzz", Working!$A:$A)), MOD(ROW()-ROW(D$2)+D$1, COUNTA(Working!$A$2:INDEX(Working!$A:$A, MATCH("zzz", Working!$A:$A)))) + 1))</f>
        <v/>
      </c>
      <c r="E83" t="str" cm="1">
        <f t="array" ref="E83">IF(Working!$A83="","",INDEX(Working!$A$2:INDEX(Working!$A:$A, MATCH("zzz", Working!$A:$A)), MOD(ROW()-ROW(E$2)+E$1, COUNTA(Working!$A$2:INDEX(Working!$A:$A, MATCH("zzz", Working!$A:$A)))) + 1))</f>
        <v/>
      </c>
      <c r="F83" t="str" cm="1">
        <f t="array" ref="F83">IF(Working!$A83="","",INDEX(Working!$A$2:INDEX(Working!$A:$A, MATCH("zzz", Working!$A:$A)), MOD(ROW()-ROW(F$2)+F$1, COUNTA(Working!$A$2:INDEX(Working!$A:$A, MATCH("zzz", Working!$A:$A)))) + 1))</f>
        <v/>
      </c>
      <c r="G83" t="str" cm="1">
        <f t="array" ref="G83">IF(Working!$A83="","",INDEX(Working!$A$2:INDEX(Working!$A:$A, MATCH("zzz", Working!$A:$A)), MOD(ROW()-ROW(G$2)+G$1, COUNTA(Working!$A$2:INDEX(Working!$A:$A, MATCH("zzz", Working!$A:$A)))) + 1))</f>
        <v/>
      </c>
      <c r="H83" t="str" cm="1">
        <f t="array" ref="H83">IF(Working!$A83="","",INDEX(Working!$A$2:INDEX(Working!$A:$A, MATCH("zzz", Working!$A:$A)), MOD(ROW()-ROW(H$2)+H$1, COUNTA(Working!$A$2:INDEX(Working!$A:$A, MATCH("zzz", Working!$A:$A)))) + 1))</f>
        <v/>
      </c>
      <c r="I83" t="str" cm="1">
        <f t="array" ref="I83">IF(Working!$A83="","",INDEX(Working!$A$2:INDEX(Working!$A:$A, MATCH("zzz", Working!$A:$A)), MOD(ROW()-ROW(I$2)+I$1, COUNTA(Working!$A$2:INDEX(Working!$A:$A, MATCH("zzz", Working!$A:$A)))) + 1))</f>
        <v/>
      </c>
      <c r="J83" t="str" cm="1">
        <f t="array" ref="J83">IF(Working!$A83="","",INDEX(Working!$A$2:INDEX(Working!$A:$A, MATCH("zzz", Working!$A:$A)), MOD(ROW()-ROW(J$2)+J$1, COUNTA(Working!$A$2:INDEX(Working!$A:$A, MATCH("zzz", Working!$A:$A)))) + 1))</f>
        <v/>
      </c>
      <c r="K83" t="str" cm="1">
        <f t="array" ref="K83">IF(Working!$A83="","",INDEX(Working!$A$2:INDEX(Working!$A:$A, MATCH("zzz", Working!$A:$A)), MOD(ROW()-ROW(K$2)+K$1, COUNTA(Working!$A$2:INDEX(Working!$A:$A, MATCH("zzz", Working!$A:$A)))) + 1))</f>
        <v/>
      </c>
      <c r="L83" t="str" cm="1">
        <f t="array" ref="L83">IF(Working!$A83="","",INDEX(Working!$A$2:INDEX(Working!$A:$A, MATCH("zzz", Working!$A:$A)), MOD(ROW()-ROW(L$2)+L$1, COUNTA(Working!$A$2:INDEX(Working!$A:$A, MATCH("zzz", Working!$A:$A)))) + 1))</f>
        <v/>
      </c>
    </row>
    <row r="84" spans="3:12" ht="15.75" customHeight="1" x14ac:dyDescent="0.2">
      <c r="C84" t="str" cm="1">
        <f t="array" ref="C84">IF(Working!$A84="","",INDEX(Working!$A$2:INDEX(Working!$A:$A, MATCH("zzz", Working!$A:$A)), MOD(ROW()-ROW(C$2)+C$1, COUNTA(Working!$A$2:INDEX(Working!$A:$A, MATCH("zzz", Working!$A:$A)))) + 1))</f>
        <v/>
      </c>
      <c r="D84" t="str" cm="1">
        <f t="array" ref="D84">IF(Working!$A84="","",INDEX(Working!$A$2:INDEX(Working!$A:$A, MATCH("zzz", Working!$A:$A)), MOD(ROW()-ROW(D$2)+D$1, COUNTA(Working!$A$2:INDEX(Working!$A:$A, MATCH("zzz", Working!$A:$A)))) + 1))</f>
        <v/>
      </c>
      <c r="E84" t="str" cm="1">
        <f t="array" ref="E84">IF(Working!$A84="","",INDEX(Working!$A$2:INDEX(Working!$A:$A, MATCH("zzz", Working!$A:$A)), MOD(ROW()-ROW(E$2)+E$1, COUNTA(Working!$A$2:INDEX(Working!$A:$A, MATCH("zzz", Working!$A:$A)))) + 1))</f>
        <v/>
      </c>
      <c r="F84" t="str" cm="1">
        <f t="array" ref="F84">IF(Working!$A84="","",INDEX(Working!$A$2:INDEX(Working!$A:$A, MATCH("zzz", Working!$A:$A)), MOD(ROW()-ROW(F$2)+F$1, COUNTA(Working!$A$2:INDEX(Working!$A:$A, MATCH("zzz", Working!$A:$A)))) + 1))</f>
        <v/>
      </c>
      <c r="G84" t="str" cm="1">
        <f t="array" ref="G84">IF(Working!$A84="","",INDEX(Working!$A$2:INDEX(Working!$A:$A, MATCH("zzz", Working!$A:$A)), MOD(ROW()-ROW(G$2)+G$1, COUNTA(Working!$A$2:INDEX(Working!$A:$A, MATCH("zzz", Working!$A:$A)))) + 1))</f>
        <v/>
      </c>
      <c r="H84" t="str" cm="1">
        <f t="array" ref="H84">IF(Working!$A84="","",INDEX(Working!$A$2:INDEX(Working!$A:$A, MATCH("zzz", Working!$A:$A)), MOD(ROW()-ROW(H$2)+H$1, COUNTA(Working!$A$2:INDEX(Working!$A:$A, MATCH("zzz", Working!$A:$A)))) + 1))</f>
        <v/>
      </c>
      <c r="I84" t="str" cm="1">
        <f t="array" ref="I84">IF(Working!$A84="","",INDEX(Working!$A$2:INDEX(Working!$A:$A, MATCH("zzz", Working!$A:$A)), MOD(ROW()-ROW(I$2)+I$1, COUNTA(Working!$A$2:INDEX(Working!$A:$A, MATCH("zzz", Working!$A:$A)))) + 1))</f>
        <v/>
      </c>
      <c r="J84" t="str" cm="1">
        <f t="array" ref="J84">IF(Working!$A84="","",INDEX(Working!$A$2:INDEX(Working!$A:$A, MATCH("zzz", Working!$A:$A)), MOD(ROW()-ROW(J$2)+J$1, COUNTA(Working!$A$2:INDEX(Working!$A:$A, MATCH("zzz", Working!$A:$A)))) + 1))</f>
        <v/>
      </c>
      <c r="K84" t="str" cm="1">
        <f t="array" ref="K84">IF(Working!$A84="","",INDEX(Working!$A$2:INDEX(Working!$A:$A, MATCH("zzz", Working!$A:$A)), MOD(ROW()-ROW(K$2)+K$1, COUNTA(Working!$A$2:INDEX(Working!$A:$A, MATCH("zzz", Working!$A:$A)))) + 1))</f>
        <v/>
      </c>
      <c r="L84" t="str" cm="1">
        <f t="array" ref="L84">IF(Working!$A84="","",INDEX(Working!$A$2:INDEX(Working!$A:$A, MATCH("zzz", Working!$A:$A)), MOD(ROW()-ROW(L$2)+L$1, COUNTA(Working!$A$2:INDEX(Working!$A:$A, MATCH("zzz", Working!$A:$A)))) + 1))</f>
        <v/>
      </c>
    </row>
    <row r="85" spans="3:12" ht="15.75" customHeight="1" x14ac:dyDescent="0.2">
      <c r="C85" t="str" cm="1">
        <f t="array" ref="C85">IF(Working!$A85="","",INDEX(Working!$A$2:INDEX(Working!$A:$A, MATCH("zzz", Working!$A:$A)), MOD(ROW()-ROW(C$2)+C$1, COUNTA(Working!$A$2:INDEX(Working!$A:$A, MATCH("zzz", Working!$A:$A)))) + 1))</f>
        <v/>
      </c>
      <c r="D85" t="str" cm="1">
        <f t="array" ref="D85">IF(Working!$A85="","",INDEX(Working!$A$2:INDEX(Working!$A:$A, MATCH("zzz", Working!$A:$A)), MOD(ROW()-ROW(D$2)+D$1, COUNTA(Working!$A$2:INDEX(Working!$A:$A, MATCH("zzz", Working!$A:$A)))) + 1))</f>
        <v/>
      </c>
      <c r="E85" t="str" cm="1">
        <f t="array" ref="E85">IF(Working!$A85="","",INDEX(Working!$A$2:INDEX(Working!$A:$A, MATCH("zzz", Working!$A:$A)), MOD(ROW()-ROW(E$2)+E$1, COUNTA(Working!$A$2:INDEX(Working!$A:$A, MATCH("zzz", Working!$A:$A)))) + 1))</f>
        <v/>
      </c>
      <c r="F85" t="str" cm="1">
        <f t="array" ref="F85">IF(Working!$A85="","",INDEX(Working!$A$2:INDEX(Working!$A:$A, MATCH("zzz", Working!$A:$A)), MOD(ROW()-ROW(F$2)+F$1, COUNTA(Working!$A$2:INDEX(Working!$A:$A, MATCH("zzz", Working!$A:$A)))) + 1))</f>
        <v/>
      </c>
      <c r="G85" t="str" cm="1">
        <f t="array" ref="G85">IF(Working!$A85="","",INDEX(Working!$A$2:INDEX(Working!$A:$A, MATCH("zzz", Working!$A:$A)), MOD(ROW()-ROW(G$2)+G$1, COUNTA(Working!$A$2:INDEX(Working!$A:$A, MATCH("zzz", Working!$A:$A)))) + 1))</f>
        <v/>
      </c>
      <c r="H85" t="str" cm="1">
        <f t="array" ref="H85">IF(Working!$A85="","",INDEX(Working!$A$2:INDEX(Working!$A:$A, MATCH("zzz", Working!$A:$A)), MOD(ROW()-ROW(H$2)+H$1, COUNTA(Working!$A$2:INDEX(Working!$A:$A, MATCH("zzz", Working!$A:$A)))) + 1))</f>
        <v/>
      </c>
      <c r="I85" t="str" cm="1">
        <f t="array" ref="I85">IF(Working!$A85="","",INDEX(Working!$A$2:INDEX(Working!$A:$A, MATCH("zzz", Working!$A:$A)), MOD(ROW()-ROW(I$2)+I$1, COUNTA(Working!$A$2:INDEX(Working!$A:$A, MATCH("zzz", Working!$A:$A)))) + 1))</f>
        <v/>
      </c>
      <c r="J85" t="str" cm="1">
        <f t="array" ref="J85">IF(Working!$A85="","",INDEX(Working!$A$2:INDEX(Working!$A:$A, MATCH("zzz", Working!$A:$A)), MOD(ROW()-ROW(J$2)+J$1, COUNTA(Working!$A$2:INDEX(Working!$A:$A, MATCH("zzz", Working!$A:$A)))) + 1))</f>
        <v/>
      </c>
      <c r="K85" t="str" cm="1">
        <f t="array" ref="K85">IF(Working!$A85="","",INDEX(Working!$A$2:INDEX(Working!$A:$A, MATCH("zzz", Working!$A:$A)), MOD(ROW()-ROW(K$2)+K$1, COUNTA(Working!$A$2:INDEX(Working!$A:$A, MATCH("zzz", Working!$A:$A)))) + 1))</f>
        <v/>
      </c>
      <c r="L85" t="str" cm="1">
        <f t="array" ref="L85">IF(Working!$A85="","",INDEX(Working!$A$2:INDEX(Working!$A:$A, MATCH("zzz", Working!$A:$A)), MOD(ROW()-ROW(L$2)+L$1, COUNTA(Working!$A$2:INDEX(Working!$A:$A, MATCH("zzz", Working!$A:$A)))) + 1))</f>
        <v/>
      </c>
    </row>
    <row r="86" spans="3:12" ht="15.75" customHeight="1" x14ac:dyDescent="0.2">
      <c r="C86" t="str" cm="1">
        <f t="array" ref="C86">IF(Working!$A86="","",INDEX(Working!$A$2:INDEX(Working!$A:$A, MATCH("zzz", Working!$A:$A)), MOD(ROW()-ROW(C$2)+C$1, COUNTA(Working!$A$2:INDEX(Working!$A:$A, MATCH("zzz", Working!$A:$A)))) + 1))</f>
        <v/>
      </c>
      <c r="D86" t="str" cm="1">
        <f t="array" ref="D86">IF(Working!$A86="","",INDEX(Working!$A$2:INDEX(Working!$A:$A, MATCH("zzz", Working!$A:$A)), MOD(ROW()-ROW(D$2)+D$1, COUNTA(Working!$A$2:INDEX(Working!$A:$A, MATCH("zzz", Working!$A:$A)))) + 1))</f>
        <v/>
      </c>
      <c r="E86" t="str" cm="1">
        <f t="array" ref="E86">IF(Working!$A86="","",INDEX(Working!$A$2:INDEX(Working!$A:$A, MATCH("zzz", Working!$A:$A)), MOD(ROW()-ROW(E$2)+E$1, COUNTA(Working!$A$2:INDEX(Working!$A:$A, MATCH("zzz", Working!$A:$A)))) + 1))</f>
        <v/>
      </c>
      <c r="F86" t="str" cm="1">
        <f t="array" ref="F86">IF(Working!$A86="","",INDEX(Working!$A$2:INDEX(Working!$A:$A, MATCH("zzz", Working!$A:$A)), MOD(ROW()-ROW(F$2)+F$1, COUNTA(Working!$A$2:INDEX(Working!$A:$A, MATCH("zzz", Working!$A:$A)))) + 1))</f>
        <v/>
      </c>
      <c r="G86" t="str" cm="1">
        <f t="array" ref="G86">IF(Working!$A86="","",INDEX(Working!$A$2:INDEX(Working!$A:$A, MATCH("zzz", Working!$A:$A)), MOD(ROW()-ROW(G$2)+G$1, COUNTA(Working!$A$2:INDEX(Working!$A:$A, MATCH("zzz", Working!$A:$A)))) + 1))</f>
        <v/>
      </c>
      <c r="H86" t="str" cm="1">
        <f t="array" ref="H86">IF(Working!$A86="","",INDEX(Working!$A$2:INDEX(Working!$A:$A, MATCH("zzz", Working!$A:$A)), MOD(ROW()-ROW(H$2)+H$1, COUNTA(Working!$A$2:INDEX(Working!$A:$A, MATCH("zzz", Working!$A:$A)))) + 1))</f>
        <v/>
      </c>
      <c r="I86" t="str" cm="1">
        <f t="array" ref="I86">IF(Working!$A86="","",INDEX(Working!$A$2:INDEX(Working!$A:$A, MATCH("zzz", Working!$A:$A)), MOD(ROW()-ROW(I$2)+I$1, COUNTA(Working!$A$2:INDEX(Working!$A:$A, MATCH("zzz", Working!$A:$A)))) + 1))</f>
        <v/>
      </c>
      <c r="J86" t="str" cm="1">
        <f t="array" ref="J86">IF(Working!$A86="","",INDEX(Working!$A$2:INDEX(Working!$A:$A, MATCH("zzz", Working!$A:$A)), MOD(ROW()-ROW(J$2)+J$1, COUNTA(Working!$A$2:INDEX(Working!$A:$A, MATCH("zzz", Working!$A:$A)))) + 1))</f>
        <v/>
      </c>
      <c r="K86" t="str" cm="1">
        <f t="array" ref="K86">IF(Working!$A86="","",INDEX(Working!$A$2:INDEX(Working!$A:$A, MATCH("zzz", Working!$A:$A)), MOD(ROW()-ROW(K$2)+K$1, COUNTA(Working!$A$2:INDEX(Working!$A:$A, MATCH("zzz", Working!$A:$A)))) + 1))</f>
        <v/>
      </c>
      <c r="L86" t="str" cm="1">
        <f t="array" ref="L86">IF(Working!$A86="","",INDEX(Working!$A$2:INDEX(Working!$A:$A, MATCH("zzz", Working!$A:$A)), MOD(ROW()-ROW(L$2)+L$1, COUNTA(Working!$A$2:INDEX(Working!$A:$A, MATCH("zzz", Working!$A:$A)))) + 1))</f>
        <v/>
      </c>
    </row>
    <row r="87" spans="3:12" ht="15.75" customHeight="1" x14ac:dyDescent="0.2">
      <c r="C87" t="str" cm="1">
        <f t="array" ref="C87">IF(Working!$A87="","",INDEX(Working!$A$2:INDEX(Working!$A:$A, MATCH("zzz", Working!$A:$A)), MOD(ROW()-ROW(C$2)+C$1, COUNTA(Working!$A$2:INDEX(Working!$A:$A, MATCH("zzz", Working!$A:$A)))) + 1))</f>
        <v/>
      </c>
      <c r="D87" t="str" cm="1">
        <f t="array" ref="D87">IF(Working!$A87="","",INDEX(Working!$A$2:INDEX(Working!$A:$A, MATCH("zzz", Working!$A:$A)), MOD(ROW()-ROW(D$2)+D$1, COUNTA(Working!$A$2:INDEX(Working!$A:$A, MATCH("zzz", Working!$A:$A)))) + 1))</f>
        <v/>
      </c>
      <c r="E87" t="str" cm="1">
        <f t="array" ref="E87">IF(Working!$A87="","",INDEX(Working!$A$2:INDEX(Working!$A:$A, MATCH("zzz", Working!$A:$A)), MOD(ROW()-ROW(E$2)+E$1, COUNTA(Working!$A$2:INDEX(Working!$A:$A, MATCH("zzz", Working!$A:$A)))) + 1))</f>
        <v/>
      </c>
      <c r="F87" t="str" cm="1">
        <f t="array" ref="F87">IF(Working!$A87="","",INDEX(Working!$A$2:INDEX(Working!$A:$A, MATCH("zzz", Working!$A:$A)), MOD(ROW()-ROW(F$2)+F$1, COUNTA(Working!$A$2:INDEX(Working!$A:$A, MATCH("zzz", Working!$A:$A)))) + 1))</f>
        <v/>
      </c>
      <c r="G87" t="str" cm="1">
        <f t="array" ref="G87">IF(Working!$A87="","",INDEX(Working!$A$2:INDEX(Working!$A:$A, MATCH("zzz", Working!$A:$A)), MOD(ROW()-ROW(G$2)+G$1, COUNTA(Working!$A$2:INDEX(Working!$A:$A, MATCH("zzz", Working!$A:$A)))) + 1))</f>
        <v/>
      </c>
      <c r="H87" t="str" cm="1">
        <f t="array" ref="H87">IF(Working!$A87="","",INDEX(Working!$A$2:INDEX(Working!$A:$A, MATCH("zzz", Working!$A:$A)), MOD(ROW()-ROW(H$2)+H$1, COUNTA(Working!$A$2:INDEX(Working!$A:$A, MATCH("zzz", Working!$A:$A)))) + 1))</f>
        <v/>
      </c>
      <c r="I87" t="str" cm="1">
        <f t="array" ref="I87">IF(Working!$A87="","",INDEX(Working!$A$2:INDEX(Working!$A:$A, MATCH("zzz", Working!$A:$A)), MOD(ROW()-ROW(I$2)+I$1, COUNTA(Working!$A$2:INDEX(Working!$A:$A, MATCH("zzz", Working!$A:$A)))) + 1))</f>
        <v/>
      </c>
      <c r="J87" t="str" cm="1">
        <f t="array" ref="J87">IF(Working!$A87="","",INDEX(Working!$A$2:INDEX(Working!$A:$A, MATCH("zzz", Working!$A:$A)), MOD(ROW()-ROW(J$2)+J$1, COUNTA(Working!$A$2:INDEX(Working!$A:$A, MATCH("zzz", Working!$A:$A)))) + 1))</f>
        <v/>
      </c>
      <c r="K87" t="str" cm="1">
        <f t="array" ref="K87">IF(Working!$A87="","",INDEX(Working!$A$2:INDEX(Working!$A:$A, MATCH("zzz", Working!$A:$A)), MOD(ROW()-ROW(K$2)+K$1, COUNTA(Working!$A$2:INDEX(Working!$A:$A, MATCH("zzz", Working!$A:$A)))) + 1))</f>
        <v/>
      </c>
      <c r="L87" t="str" cm="1">
        <f t="array" ref="L87">IF(Working!$A87="","",INDEX(Working!$A$2:INDEX(Working!$A:$A, MATCH("zzz", Working!$A:$A)), MOD(ROW()-ROW(L$2)+L$1, COUNTA(Working!$A$2:INDEX(Working!$A:$A, MATCH("zzz", Working!$A:$A)))) + 1))</f>
        <v/>
      </c>
    </row>
    <row r="88" spans="3:12" ht="15.75" customHeight="1" x14ac:dyDescent="0.2">
      <c r="C88" t="str" cm="1">
        <f t="array" ref="C88">IF(Working!$A88="","",INDEX(Working!$A$2:INDEX(Working!$A:$A, MATCH("zzz", Working!$A:$A)), MOD(ROW()-ROW(C$2)+C$1, COUNTA(Working!$A$2:INDEX(Working!$A:$A, MATCH("zzz", Working!$A:$A)))) + 1))</f>
        <v/>
      </c>
      <c r="D88" t="str" cm="1">
        <f t="array" ref="D88">IF(Working!$A88="","",INDEX(Working!$A$2:INDEX(Working!$A:$A, MATCH("zzz", Working!$A:$A)), MOD(ROW()-ROW(D$2)+D$1, COUNTA(Working!$A$2:INDEX(Working!$A:$A, MATCH("zzz", Working!$A:$A)))) + 1))</f>
        <v/>
      </c>
      <c r="E88" t="str" cm="1">
        <f t="array" ref="E88">IF(Working!$A88="","",INDEX(Working!$A$2:INDEX(Working!$A:$A, MATCH("zzz", Working!$A:$A)), MOD(ROW()-ROW(E$2)+E$1, COUNTA(Working!$A$2:INDEX(Working!$A:$A, MATCH("zzz", Working!$A:$A)))) + 1))</f>
        <v/>
      </c>
      <c r="F88" t="str" cm="1">
        <f t="array" ref="F88">IF(Working!$A88="","",INDEX(Working!$A$2:INDEX(Working!$A:$A, MATCH("zzz", Working!$A:$A)), MOD(ROW()-ROW(F$2)+F$1, COUNTA(Working!$A$2:INDEX(Working!$A:$A, MATCH("zzz", Working!$A:$A)))) + 1))</f>
        <v/>
      </c>
      <c r="G88" t="str" cm="1">
        <f t="array" ref="G88">IF(Working!$A88="","",INDEX(Working!$A$2:INDEX(Working!$A:$A, MATCH("zzz", Working!$A:$A)), MOD(ROW()-ROW(G$2)+G$1, COUNTA(Working!$A$2:INDEX(Working!$A:$A, MATCH("zzz", Working!$A:$A)))) + 1))</f>
        <v/>
      </c>
      <c r="H88" t="str" cm="1">
        <f t="array" ref="H88">IF(Working!$A88="","",INDEX(Working!$A$2:INDEX(Working!$A:$A, MATCH("zzz", Working!$A:$A)), MOD(ROW()-ROW(H$2)+H$1, COUNTA(Working!$A$2:INDEX(Working!$A:$A, MATCH("zzz", Working!$A:$A)))) + 1))</f>
        <v/>
      </c>
      <c r="I88" t="str" cm="1">
        <f t="array" ref="I88">IF(Working!$A88="","",INDEX(Working!$A$2:INDEX(Working!$A:$A, MATCH("zzz", Working!$A:$A)), MOD(ROW()-ROW(I$2)+I$1, COUNTA(Working!$A$2:INDEX(Working!$A:$A, MATCH("zzz", Working!$A:$A)))) + 1))</f>
        <v/>
      </c>
      <c r="J88" t="str" cm="1">
        <f t="array" ref="J88">IF(Working!$A88="","",INDEX(Working!$A$2:INDEX(Working!$A:$A, MATCH("zzz", Working!$A:$A)), MOD(ROW()-ROW(J$2)+J$1, COUNTA(Working!$A$2:INDEX(Working!$A:$A, MATCH("zzz", Working!$A:$A)))) + 1))</f>
        <v/>
      </c>
      <c r="K88" t="str" cm="1">
        <f t="array" ref="K88">IF(Working!$A88="","",INDEX(Working!$A$2:INDEX(Working!$A:$A, MATCH("zzz", Working!$A:$A)), MOD(ROW()-ROW(K$2)+K$1, COUNTA(Working!$A$2:INDEX(Working!$A:$A, MATCH("zzz", Working!$A:$A)))) + 1))</f>
        <v/>
      </c>
      <c r="L88" t="str" cm="1">
        <f t="array" ref="L88">IF(Working!$A88="","",INDEX(Working!$A$2:INDEX(Working!$A:$A, MATCH("zzz", Working!$A:$A)), MOD(ROW()-ROW(L$2)+L$1, COUNTA(Working!$A$2:INDEX(Working!$A:$A, MATCH("zzz", Working!$A:$A)))) + 1))</f>
        <v/>
      </c>
    </row>
    <row r="89" spans="3:12" ht="15.75" customHeight="1" x14ac:dyDescent="0.2">
      <c r="C89" t="str" cm="1">
        <f t="array" ref="C89">IF(Working!$A89="","",INDEX(Working!$A$2:INDEX(Working!$A:$A, MATCH("zzz", Working!$A:$A)), MOD(ROW()-ROW(C$2)+C$1, COUNTA(Working!$A$2:INDEX(Working!$A:$A, MATCH("zzz", Working!$A:$A)))) + 1))</f>
        <v/>
      </c>
      <c r="D89" t="str" cm="1">
        <f t="array" ref="D89">IF(Working!$A89="","",INDEX(Working!$A$2:INDEX(Working!$A:$A, MATCH("zzz", Working!$A:$A)), MOD(ROW()-ROW(D$2)+D$1, COUNTA(Working!$A$2:INDEX(Working!$A:$A, MATCH("zzz", Working!$A:$A)))) + 1))</f>
        <v/>
      </c>
      <c r="E89" t="str" cm="1">
        <f t="array" ref="E89">IF(Working!$A89="","",INDEX(Working!$A$2:INDEX(Working!$A:$A, MATCH("zzz", Working!$A:$A)), MOD(ROW()-ROW(E$2)+E$1, COUNTA(Working!$A$2:INDEX(Working!$A:$A, MATCH("zzz", Working!$A:$A)))) + 1))</f>
        <v/>
      </c>
      <c r="F89" t="str" cm="1">
        <f t="array" ref="F89">IF(Working!$A89="","",INDEX(Working!$A$2:INDEX(Working!$A:$A, MATCH("zzz", Working!$A:$A)), MOD(ROW()-ROW(F$2)+F$1, COUNTA(Working!$A$2:INDEX(Working!$A:$A, MATCH("zzz", Working!$A:$A)))) + 1))</f>
        <v/>
      </c>
      <c r="G89" t="str" cm="1">
        <f t="array" ref="G89">IF(Working!$A89="","",INDEX(Working!$A$2:INDEX(Working!$A:$A, MATCH("zzz", Working!$A:$A)), MOD(ROW()-ROW(G$2)+G$1, COUNTA(Working!$A$2:INDEX(Working!$A:$A, MATCH("zzz", Working!$A:$A)))) + 1))</f>
        <v/>
      </c>
      <c r="H89" t="str" cm="1">
        <f t="array" ref="H89">IF(Working!$A89="","",INDEX(Working!$A$2:INDEX(Working!$A:$A, MATCH("zzz", Working!$A:$A)), MOD(ROW()-ROW(H$2)+H$1, COUNTA(Working!$A$2:INDEX(Working!$A:$A, MATCH("zzz", Working!$A:$A)))) + 1))</f>
        <v/>
      </c>
      <c r="I89" t="str" cm="1">
        <f t="array" ref="I89">IF(Working!$A89="","",INDEX(Working!$A$2:INDEX(Working!$A:$A, MATCH("zzz", Working!$A:$A)), MOD(ROW()-ROW(I$2)+I$1, COUNTA(Working!$A$2:INDEX(Working!$A:$A, MATCH("zzz", Working!$A:$A)))) + 1))</f>
        <v/>
      </c>
      <c r="J89" t="str" cm="1">
        <f t="array" ref="J89">IF(Working!$A89="","",INDEX(Working!$A$2:INDEX(Working!$A:$A, MATCH("zzz", Working!$A:$A)), MOD(ROW()-ROW(J$2)+J$1, COUNTA(Working!$A$2:INDEX(Working!$A:$A, MATCH("zzz", Working!$A:$A)))) + 1))</f>
        <v/>
      </c>
      <c r="K89" t="str" cm="1">
        <f t="array" ref="K89">IF(Working!$A89="","",INDEX(Working!$A$2:INDEX(Working!$A:$A, MATCH("zzz", Working!$A:$A)), MOD(ROW()-ROW(K$2)+K$1, COUNTA(Working!$A$2:INDEX(Working!$A:$A, MATCH("zzz", Working!$A:$A)))) + 1))</f>
        <v/>
      </c>
      <c r="L89" t="str" cm="1">
        <f t="array" ref="L89">IF(Working!$A89="","",INDEX(Working!$A$2:INDEX(Working!$A:$A, MATCH("zzz", Working!$A:$A)), MOD(ROW()-ROW(L$2)+L$1, COUNTA(Working!$A$2:INDEX(Working!$A:$A, MATCH("zzz", Working!$A:$A)))) + 1))</f>
        <v/>
      </c>
    </row>
    <row r="90" spans="3:12" ht="15.75" customHeight="1" x14ac:dyDescent="0.2">
      <c r="C90" t="str" cm="1">
        <f t="array" ref="C90">IF(Working!$A90="","",INDEX(Working!$A$2:INDEX(Working!$A:$A, MATCH("zzz", Working!$A:$A)), MOD(ROW()-ROW(C$2)+C$1, COUNTA(Working!$A$2:INDEX(Working!$A:$A, MATCH("zzz", Working!$A:$A)))) + 1))</f>
        <v/>
      </c>
      <c r="D90" t="str" cm="1">
        <f t="array" ref="D90">IF(Working!$A90="","",INDEX(Working!$A$2:INDEX(Working!$A:$A, MATCH("zzz", Working!$A:$A)), MOD(ROW()-ROW(D$2)+D$1, COUNTA(Working!$A$2:INDEX(Working!$A:$A, MATCH("zzz", Working!$A:$A)))) + 1))</f>
        <v/>
      </c>
      <c r="E90" t="str" cm="1">
        <f t="array" ref="E90">IF(Working!$A90="","",INDEX(Working!$A$2:INDEX(Working!$A:$A, MATCH("zzz", Working!$A:$A)), MOD(ROW()-ROW(E$2)+E$1, COUNTA(Working!$A$2:INDEX(Working!$A:$A, MATCH("zzz", Working!$A:$A)))) + 1))</f>
        <v/>
      </c>
      <c r="F90" t="str" cm="1">
        <f t="array" ref="F90">IF(Working!$A90="","",INDEX(Working!$A$2:INDEX(Working!$A:$A, MATCH("zzz", Working!$A:$A)), MOD(ROW()-ROW(F$2)+F$1, COUNTA(Working!$A$2:INDEX(Working!$A:$A, MATCH("zzz", Working!$A:$A)))) + 1))</f>
        <v/>
      </c>
      <c r="G90" t="str" cm="1">
        <f t="array" ref="G90">IF(Working!$A90="","",INDEX(Working!$A$2:INDEX(Working!$A:$A, MATCH("zzz", Working!$A:$A)), MOD(ROW()-ROW(G$2)+G$1, COUNTA(Working!$A$2:INDEX(Working!$A:$A, MATCH("zzz", Working!$A:$A)))) + 1))</f>
        <v/>
      </c>
      <c r="H90" t="str" cm="1">
        <f t="array" ref="H90">IF(Working!$A90="","",INDEX(Working!$A$2:INDEX(Working!$A:$A, MATCH("zzz", Working!$A:$A)), MOD(ROW()-ROW(H$2)+H$1, COUNTA(Working!$A$2:INDEX(Working!$A:$A, MATCH("zzz", Working!$A:$A)))) + 1))</f>
        <v/>
      </c>
      <c r="I90" t="str" cm="1">
        <f t="array" ref="I90">IF(Working!$A90="","",INDEX(Working!$A$2:INDEX(Working!$A:$A, MATCH("zzz", Working!$A:$A)), MOD(ROW()-ROW(I$2)+I$1, COUNTA(Working!$A$2:INDEX(Working!$A:$A, MATCH("zzz", Working!$A:$A)))) + 1))</f>
        <v/>
      </c>
      <c r="J90" t="str" cm="1">
        <f t="array" ref="J90">IF(Working!$A90="","",INDEX(Working!$A$2:INDEX(Working!$A:$A, MATCH("zzz", Working!$A:$A)), MOD(ROW()-ROW(J$2)+J$1, COUNTA(Working!$A$2:INDEX(Working!$A:$A, MATCH("zzz", Working!$A:$A)))) + 1))</f>
        <v/>
      </c>
      <c r="K90" t="str" cm="1">
        <f t="array" ref="K90">IF(Working!$A90="","",INDEX(Working!$A$2:INDEX(Working!$A:$A, MATCH("zzz", Working!$A:$A)), MOD(ROW()-ROW(K$2)+K$1, COUNTA(Working!$A$2:INDEX(Working!$A:$A, MATCH("zzz", Working!$A:$A)))) + 1))</f>
        <v/>
      </c>
      <c r="L90" t="str" cm="1">
        <f t="array" ref="L90">IF(Working!$A90="","",INDEX(Working!$A$2:INDEX(Working!$A:$A, MATCH("zzz", Working!$A:$A)), MOD(ROW()-ROW(L$2)+L$1, COUNTA(Working!$A$2:INDEX(Working!$A:$A, MATCH("zzz", Working!$A:$A)))) + 1))</f>
        <v/>
      </c>
    </row>
    <row r="91" spans="3:12" ht="15.75" customHeight="1" x14ac:dyDescent="0.2">
      <c r="C91" t="str" cm="1">
        <f t="array" ref="C91">IF(Working!$A91="","",INDEX(Working!$A$2:INDEX(Working!$A:$A, MATCH("zzz", Working!$A:$A)), MOD(ROW()-ROW(C$2)+C$1, COUNTA(Working!$A$2:INDEX(Working!$A:$A, MATCH("zzz", Working!$A:$A)))) + 1))</f>
        <v/>
      </c>
      <c r="D91" t="str" cm="1">
        <f t="array" ref="D91">IF(Working!$A91="","",INDEX(Working!$A$2:INDEX(Working!$A:$A, MATCH("zzz", Working!$A:$A)), MOD(ROW()-ROW(D$2)+D$1, COUNTA(Working!$A$2:INDEX(Working!$A:$A, MATCH("zzz", Working!$A:$A)))) + 1))</f>
        <v/>
      </c>
      <c r="E91" t="str" cm="1">
        <f t="array" ref="E91">IF(Working!$A91="","",INDEX(Working!$A$2:INDEX(Working!$A:$A, MATCH("zzz", Working!$A:$A)), MOD(ROW()-ROW(E$2)+E$1, COUNTA(Working!$A$2:INDEX(Working!$A:$A, MATCH("zzz", Working!$A:$A)))) + 1))</f>
        <v/>
      </c>
      <c r="F91" t="str" cm="1">
        <f t="array" ref="F91">IF(Working!$A91="","",INDEX(Working!$A$2:INDEX(Working!$A:$A, MATCH("zzz", Working!$A:$A)), MOD(ROW()-ROW(F$2)+F$1, COUNTA(Working!$A$2:INDEX(Working!$A:$A, MATCH("zzz", Working!$A:$A)))) + 1))</f>
        <v/>
      </c>
      <c r="G91" t="str" cm="1">
        <f t="array" ref="G91">IF(Working!$A91="","",INDEX(Working!$A$2:INDEX(Working!$A:$A, MATCH("zzz", Working!$A:$A)), MOD(ROW()-ROW(G$2)+G$1, COUNTA(Working!$A$2:INDEX(Working!$A:$A, MATCH("zzz", Working!$A:$A)))) + 1))</f>
        <v/>
      </c>
      <c r="H91" t="str" cm="1">
        <f t="array" ref="H91">IF(Working!$A91="","",INDEX(Working!$A$2:INDEX(Working!$A:$A, MATCH("zzz", Working!$A:$A)), MOD(ROW()-ROW(H$2)+H$1, COUNTA(Working!$A$2:INDEX(Working!$A:$A, MATCH("zzz", Working!$A:$A)))) + 1))</f>
        <v/>
      </c>
      <c r="I91" t="str" cm="1">
        <f t="array" ref="I91">IF(Working!$A91="","",INDEX(Working!$A$2:INDEX(Working!$A:$A, MATCH("zzz", Working!$A:$A)), MOD(ROW()-ROW(I$2)+I$1, COUNTA(Working!$A$2:INDEX(Working!$A:$A, MATCH("zzz", Working!$A:$A)))) + 1))</f>
        <v/>
      </c>
      <c r="J91" t="str" cm="1">
        <f t="array" ref="J91">IF(Working!$A91="","",INDEX(Working!$A$2:INDEX(Working!$A:$A, MATCH("zzz", Working!$A:$A)), MOD(ROW()-ROW(J$2)+J$1, COUNTA(Working!$A$2:INDEX(Working!$A:$A, MATCH("zzz", Working!$A:$A)))) + 1))</f>
        <v/>
      </c>
      <c r="K91" t="str" cm="1">
        <f t="array" ref="K91">IF(Working!$A91="","",INDEX(Working!$A$2:INDEX(Working!$A:$A, MATCH("zzz", Working!$A:$A)), MOD(ROW()-ROW(K$2)+K$1, COUNTA(Working!$A$2:INDEX(Working!$A:$A, MATCH("zzz", Working!$A:$A)))) + 1))</f>
        <v/>
      </c>
      <c r="L91" t="str" cm="1">
        <f t="array" ref="L91">IF(Working!$A91="","",INDEX(Working!$A$2:INDEX(Working!$A:$A, MATCH("zzz", Working!$A:$A)), MOD(ROW()-ROW(L$2)+L$1, COUNTA(Working!$A$2:INDEX(Working!$A:$A, MATCH("zzz", Working!$A:$A)))) + 1))</f>
        <v/>
      </c>
    </row>
    <row r="92" spans="3:12" ht="15.75" customHeight="1" x14ac:dyDescent="0.2">
      <c r="C92" t="str" cm="1">
        <f t="array" ref="C92">IF(Working!$A92="","",INDEX(Working!$A$2:INDEX(Working!$A:$A, MATCH("zzz", Working!$A:$A)), MOD(ROW()-ROW(C$2)+C$1, COUNTA(Working!$A$2:INDEX(Working!$A:$A, MATCH("zzz", Working!$A:$A)))) + 1))</f>
        <v/>
      </c>
      <c r="D92" t="str" cm="1">
        <f t="array" ref="D92">IF(Working!$A92="","",INDEX(Working!$A$2:INDEX(Working!$A:$A, MATCH("zzz", Working!$A:$A)), MOD(ROW()-ROW(D$2)+D$1, COUNTA(Working!$A$2:INDEX(Working!$A:$A, MATCH("zzz", Working!$A:$A)))) + 1))</f>
        <v/>
      </c>
      <c r="E92" t="str" cm="1">
        <f t="array" ref="E92">IF(Working!$A92="","",INDEX(Working!$A$2:INDEX(Working!$A:$A, MATCH("zzz", Working!$A:$A)), MOD(ROW()-ROW(E$2)+E$1, COUNTA(Working!$A$2:INDEX(Working!$A:$A, MATCH("zzz", Working!$A:$A)))) + 1))</f>
        <v/>
      </c>
      <c r="F92" t="str" cm="1">
        <f t="array" ref="F92">IF(Working!$A92="","",INDEX(Working!$A$2:INDEX(Working!$A:$A, MATCH("zzz", Working!$A:$A)), MOD(ROW()-ROW(F$2)+F$1, COUNTA(Working!$A$2:INDEX(Working!$A:$A, MATCH("zzz", Working!$A:$A)))) + 1))</f>
        <v/>
      </c>
      <c r="G92" t="str" cm="1">
        <f t="array" ref="G92">IF(Working!$A92="","",INDEX(Working!$A$2:INDEX(Working!$A:$A, MATCH("zzz", Working!$A:$A)), MOD(ROW()-ROW(G$2)+G$1, COUNTA(Working!$A$2:INDEX(Working!$A:$A, MATCH("zzz", Working!$A:$A)))) + 1))</f>
        <v/>
      </c>
      <c r="H92" t="str" cm="1">
        <f t="array" ref="H92">IF(Working!$A92="","",INDEX(Working!$A$2:INDEX(Working!$A:$A, MATCH("zzz", Working!$A:$A)), MOD(ROW()-ROW(H$2)+H$1, COUNTA(Working!$A$2:INDEX(Working!$A:$A, MATCH("zzz", Working!$A:$A)))) + 1))</f>
        <v/>
      </c>
      <c r="I92" t="str" cm="1">
        <f t="array" ref="I92">IF(Working!$A92="","",INDEX(Working!$A$2:INDEX(Working!$A:$A, MATCH("zzz", Working!$A:$A)), MOD(ROW()-ROW(I$2)+I$1, COUNTA(Working!$A$2:INDEX(Working!$A:$A, MATCH("zzz", Working!$A:$A)))) + 1))</f>
        <v/>
      </c>
      <c r="J92" t="str" cm="1">
        <f t="array" ref="J92">IF(Working!$A92="","",INDEX(Working!$A$2:INDEX(Working!$A:$A, MATCH("zzz", Working!$A:$A)), MOD(ROW()-ROW(J$2)+J$1, COUNTA(Working!$A$2:INDEX(Working!$A:$A, MATCH("zzz", Working!$A:$A)))) + 1))</f>
        <v/>
      </c>
      <c r="K92" t="str" cm="1">
        <f t="array" ref="K92">IF(Working!$A92="","",INDEX(Working!$A$2:INDEX(Working!$A:$A, MATCH("zzz", Working!$A:$A)), MOD(ROW()-ROW(K$2)+K$1, COUNTA(Working!$A$2:INDEX(Working!$A:$A, MATCH("zzz", Working!$A:$A)))) + 1))</f>
        <v/>
      </c>
      <c r="L92" t="str" cm="1">
        <f t="array" ref="L92">IF(Working!$A92="","",INDEX(Working!$A$2:INDEX(Working!$A:$A, MATCH("zzz", Working!$A:$A)), MOD(ROW()-ROW(L$2)+L$1, COUNTA(Working!$A$2:INDEX(Working!$A:$A, MATCH("zzz", Working!$A:$A)))) + 1))</f>
        <v/>
      </c>
    </row>
    <row r="93" spans="3:12" ht="15.75" customHeight="1" x14ac:dyDescent="0.2">
      <c r="C93" t="str" cm="1">
        <f t="array" ref="C93">IF(Working!$A93="","",INDEX(Working!$A$2:INDEX(Working!$A:$A, MATCH("zzz", Working!$A:$A)), MOD(ROW()-ROW(C$2)+C$1, COUNTA(Working!$A$2:INDEX(Working!$A:$A, MATCH("zzz", Working!$A:$A)))) + 1))</f>
        <v/>
      </c>
      <c r="D93" t="str" cm="1">
        <f t="array" ref="D93">IF(Working!$A93="","",INDEX(Working!$A$2:INDEX(Working!$A:$A, MATCH("zzz", Working!$A:$A)), MOD(ROW()-ROW(D$2)+D$1, COUNTA(Working!$A$2:INDEX(Working!$A:$A, MATCH("zzz", Working!$A:$A)))) + 1))</f>
        <v/>
      </c>
      <c r="E93" t="str" cm="1">
        <f t="array" ref="E93">IF(Working!$A93="","",INDEX(Working!$A$2:INDEX(Working!$A:$A, MATCH("zzz", Working!$A:$A)), MOD(ROW()-ROW(E$2)+E$1, COUNTA(Working!$A$2:INDEX(Working!$A:$A, MATCH("zzz", Working!$A:$A)))) + 1))</f>
        <v/>
      </c>
      <c r="F93" t="str" cm="1">
        <f t="array" ref="F93">IF(Working!$A93="","",INDEX(Working!$A$2:INDEX(Working!$A:$A, MATCH("zzz", Working!$A:$A)), MOD(ROW()-ROW(F$2)+F$1, COUNTA(Working!$A$2:INDEX(Working!$A:$A, MATCH("zzz", Working!$A:$A)))) + 1))</f>
        <v/>
      </c>
      <c r="G93" t="str" cm="1">
        <f t="array" ref="G93">IF(Working!$A93="","",INDEX(Working!$A$2:INDEX(Working!$A:$A, MATCH("zzz", Working!$A:$A)), MOD(ROW()-ROW(G$2)+G$1, COUNTA(Working!$A$2:INDEX(Working!$A:$A, MATCH("zzz", Working!$A:$A)))) + 1))</f>
        <v/>
      </c>
      <c r="H93" t="str" cm="1">
        <f t="array" ref="H93">IF(Working!$A93="","",INDEX(Working!$A$2:INDEX(Working!$A:$A, MATCH("zzz", Working!$A:$A)), MOD(ROW()-ROW(H$2)+H$1, COUNTA(Working!$A$2:INDEX(Working!$A:$A, MATCH("zzz", Working!$A:$A)))) + 1))</f>
        <v/>
      </c>
      <c r="I93" t="str" cm="1">
        <f t="array" ref="I93">IF(Working!$A93="","",INDEX(Working!$A$2:INDEX(Working!$A:$A, MATCH("zzz", Working!$A:$A)), MOD(ROW()-ROW(I$2)+I$1, COUNTA(Working!$A$2:INDEX(Working!$A:$A, MATCH("zzz", Working!$A:$A)))) + 1))</f>
        <v/>
      </c>
      <c r="J93" t="str" cm="1">
        <f t="array" ref="J93">IF(Working!$A93="","",INDEX(Working!$A$2:INDEX(Working!$A:$A, MATCH("zzz", Working!$A:$A)), MOD(ROW()-ROW(J$2)+J$1, COUNTA(Working!$A$2:INDEX(Working!$A:$A, MATCH("zzz", Working!$A:$A)))) + 1))</f>
        <v/>
      </c>
      <c r="K93" t="str" cm="1">
        <f t="array" ref="K93">IF(Working!$A93="","",INDEX(Working!$A$2:INDEX(Working!$A:$A, MATCH("zzz", Working!$A:$A)), MOD(ROW()-ROW(K$2)+K$1, COUNTA(Working!$A$2:INDEX(Working!$A:$A, MATCH("zzz", Working!$A:$A)))) + 1))</f>
        <v/>
      </c>
      <c r="L93" t="str" cm="1">
        <f t="array" ref="L93">IF(Working!$A93="","",INDEX(Working!$A$2:INDEX(Working!$A:$A, MATCH("zzz", Working!$A:$A)), MOD(ROW()-ROW(L$2)+L$1, COUNTA(Working!$A$2:INDEX(Working!$A:$A, MATCH("zzz", Working!$A:$A)))) + 1))</f>
        <v/>
      </c>
    </row>
    <row r="94" spans="3:12" ht="15.75" customHeight="1" x14ac:dyDescent="0.2">
      <c r="C94" t="str" cm="1">
        <f t="array" ref="C94">IF(Working!$A94="","",INDEX(Working!$A$2:INDEX(Working!$A:$A, MATCH("zzz", Working!$A:$A)), MOD(ROW()-ROW(C$2)+C$1, COUNTA(Working!$A$2:INDEX(Working!$A:$A, MATCH("zzz", Working!$A:$A)))) + 1))</f>
        <v/>
      </c>
      <c r="D94" t="str" cm="1">
        <f t="array" ref="D94">IF(Working!$A94="","",INDEX(Working!$A$2:INDEX(Working!$A:$A, MATCH("zzz", Working!$A:$A)), MOD(ROW()-ROW(D$2)+D$1, COUNTA(Working!$A$2:INDEX(Working!$A:$A, MATCH("zzz", Working!$A:$A)))) + 1))</f>
        <v/>
      </c>
      <c r="E94" t="str" cm="1">
        <f t="array" ref="E94">IF(Working!$A94="","",INDEX(Working!$A$2:INDEX(Working!$A:$A, MATCH("zzz", Working!$A:$A)), MOD(ROW()-ROW(E$2)+E$1, COUNTA(Working!$A$2:INDEX(Working!$A:$A, MATCH("zzz", Working!$A:$A)))) + 1))</f>
        <v/>
      </c>
      <c r="F94" t="str" cm="1">
        <f t="array" ref="F94">IF(Working!$A94="","",INDEX(Working!$A$2:INDEX(Working!$A:$A, MATCH("zzz", Working!$A:$A)), MOD(ROW()-ROW(F$2)+F$1, COUNTA(Working!$A$2:INDEX(Working!$A:$A, MATCH("zzz", Working!$A:$A)))) + 1))</f>
        <v/>
      </c>
      <c r="G94" t="str" cm="1">
        <f t="array" ref="G94">IF(Working!$A94="","",INDEX(Working!$A$2:INDEX(Working!$A:$A, MATCH("zzz", Working!$A:$A)), MOD(ROW()-ROW(G$2)+G$1, COUNTA(Working!$A$2:INDEX(Working!$A:$A, MATCH("zzz", Working!$A:$A)))) + 1))</f>
        <v/>
      </c>
      <c r="H94" t="str" cm="1">
        <f t="array" ref="H94">IF(Working!$A94="","",INDEX(Working!$A$2:INDEX(Working!$A:$A, MATCH("zzz", Working!$A:$A)), MOD(ROW()-ROW(H$2)+H$1, COUNTA(Working!$A$2:INDEX(Working!$A:$A, MATCH("zzz", Working!$A:$A)))) + 1))</f>
        <v/>
      </c>
      <c r="I94" t="str" cm="1">
        <f t="array" ref="I94">IF(Working!$A94="","",INDEX(Working!$A$2:INDEX(Working!$A:$A, MATCH("zzz", Working!$A:$A)), MOD(ROW()-ROW(I$2)+I$1, COUNTA(Working!$A$2:INDEX(Working!$A:$A, MATCH("zzz", Working!$A:$A)))) + 1))</f>
        <v/>
      </c>
      <c r="J94" t="str" cm="1">
        <f t="array" ref="J94">IF(Working!$A94="","",INDEX(Working!$A$2:INDEX(Working!$A:$A, MATCH("zzz", Working!$A:$A)), MOD(ROW()-ROW(J$2)+J$1, COUNTA(Working!$A$2:INDEX(Working!$A:$A, MATCH("zzz", Working!$A:$A)))) + 1))</f>
        <v/>
      </c>
      <c r="K94" t="str" cm="1">
        <f t="array" ref="K94">IF(Working!$A94="","",INDEX(Working!$A$2:INDEX(Working!$A:$A, MATCH("zzz", Working!$A:$A)), MOD(ROW()-ROW(K$2)+K$1, COUNTA(Working!$A$2:INDEX(Working!$A:$A, MATCH("zzz", Working!$A:$A)))) + 1))</f>
        <v/>
      </c>
      <c r="L94" t="str" cm="1">
        <f t="array" ref="L94">IF(Working!$A94="","",INDEX(Working!$A$2:INDEX(Working!$A:$A, MATCH("zzz", Working!$A:$A)), MOD(ROW()-ROW(L$2)+L$1, COUNTA(Working!$A$2:INDEX(Working!$A:$A, MATCH("zzz", Working!$A:$A)))) + 1))</f>
        <v/>
      </c>
    </row>
    <row r="95" spans="3:12" ht="15.75" customHeight="1" x14ac:dyDescent="0.2">
      <c r="C95" t="str" cm="1">
        <f t="array" ref="C95">IF(Working!$A95="","",INDEX(Working!$A$2:INDEX(Working!$A:$A, MATCH("zzz", Working!$A:$A)), MOD(ROW()-ROW(C$2)+C$1, COUNTA(Working!$A$2:INDEX(Working!$A:$A, MATCH("zzz", Working!$A:$A)))) + 1))</f>
        <v/>
      </c>
      <c r="D95" t="str" cm="1">
        <f t="array" ref="D95">IF(Working!$A95="","",INDEX(Working!$A$2:INDEX(Working!$A:$A, MATCH("zzz", Working!$A:$A)), MOD(ROW()-ROW(D$2)+D$1, COUNTA(Working!$A$2:INDEX(Working!$A:$A, MATCH("zzz", Working!$A:$A)))) + 1))</f>
        <v/>
      </c>
      <c r="E95" t="str" cm="1">
        <f t="array" ref="E95">IF(Working!$A95="","",INDEX(Working!$A$2:INDEX(Working!$A:$A, MATCH("zzz", Working!$A:$A)), MOD(ROW()-ROW(E$2)+E$1, COUNTA(Working!$A$2:INDEX(Working!$A:$A, MATCH("zzz", Working!$A:$A)))) + 1))</f>
        <v/>
      </c>
      <c r="F95" t="str" cm="1">
        <f t="array" ref="F95">IF(Working!$A95="","",INDEX(Working!$A$2:INDEX(Working!$A:$A, MATCH("zzz", Working!$A:$A)), MOD(ROW()-ROW(F$2)+F$1, COUNTA(Working!$A$2:INDEX(Working!$A:$A, MATCH("zzz", Working!$A:$A)))) + 1))</f>
        <v/>
      </c>
      <c r="G95" t="str" cm="1">
        <f t="array" ref="G95">IF(Working!$A95="","",INDEX(Working!$A$2:INDEX(Working!$A:$A, MATCH("zzz", Working!$A:$A)), MOD(ROW()-ROW(G$2)+G$1, COUNTA(Working!$A$2:INDEX(Working!$A:$A, MATCH("zzz", Working!$A:$A)))) + 1))</f>
        <v/>
      </c>
      <c r="H95" t="str" cm="1">
        <f t="array" ref="H95">IF(Working!$A95="","",INDEX(Working!$A$2:INDEX(Working!$A:$A, MATCH("zzz", Working!$A:$A)), MOD(ROW()-ROW(H$2)+H$1, COUNTA(Working!$A$2:INDEX(Working!$A:$A, MATCH("zzz", Working!$A:$A)))) + 1))</f>
        <v/>
      </c>
      <c r="I95" t="str" cm="1">
        <f t="array" ref="I95">IF(Working!$A95="","",INDEX(Working!$A$2:INDEX(Working!$A:$A, MATCH("zzz", Working!$A:$A)), MOD(ROW()-ROW(I$2)+I$1, COUNTA(Working!$A$2:INDEX(Working!$A:$A, MATCH("zzz", Working!$A:$A)))) + 1))</f>
        <v/>
      </c>
      <c r="J95" t="str" cm="1">
        <f t="array" ref="J95">IF(Working!$A95="","",INDEX(Working!$A$2:INDEX(Working!$A:$A, MATCH("zzz", Working!$A:$A)), MOD(ROW()-ROW(J$2)+J$1, COUNTA(Working!$A$2:INDEX(Working!$A:$A, MATCH("zzz", Working!$A:$A)))) + 1))</f>
        <v/>
      </c>
      <c r="K95" t="str" cm="1">
        <f t="array" ref="K95">IF(Working!$A95="","",INDEX(Working!$A$2:INDEX(Working!$A:$A, MATCH("zzz", Working!$A:$A)), MOD(ROW()-ROW(K$2)+K$1, COUNTA(Working!$A$2:INDEX(Working!$A:$A, MATCH("zzz", Working!$A:$A)))) + 1))</f>
        <v/>
      </c>
      <c r="L95" t="str" cm="1">
        <f t="array" ref="L95">IF(Working!$A95="","",INDEX(Working!$A$2:INDEX(Working!$A:$A, MATCH("zzz", Working!$A:$A)), MOD(ROW()-ROW(L$2)+L$1, COUNTA(Working!$A$2:INDEX(Working!$A:$A, MATCH("zzz", Working!$A:$A)))) + 1))</f>
        <v/>
      </c>
    </row>
    <row r="96" spans="3:12" ht="15.75" customHeight="1" x14ac:dyDescent="0.2">
      <c r="C96" t="str" cm="1">
        <f t="array" ref="C96">IF(Working!$A96="","",INDEX(Working!$A$2:INDEX(Working!$A:$A, MATCH("zzz", Working!$A:$A)), MOD(ROW()-ROW(C$2)+C$1, COUNTA(Working!$A$2:INDEX(Working!$A:$A, MATCH("zzz", Working!$A:$A)))) + 1))</f>
        <v/>
      </c>
      <c r="D96" t="str" cm="1">
        <f t="array" ref="D96">IF(Working!$A96="","",INDEX(Working!$A$2:INDEX(Working!$A:$A, MATCH("zzz", Working!$A:$A)), MOD(ROW()-ROW(D$2)+D$1, COUNTA(Working!$A$2:INDEX(Working!$A:$A, MATCH("zzz", Working!$A:$A)))) + 1))</f>
        <v/>
      </c>
      <c r="E96" t="str" cm="1">
        <f t="array" ref="E96">IF(Working!$A96="","",INDEX(Working!$A$2:INDEX(Working!$A:$A, MATCH("zzz", Working!$A:$A)), MOD(ROW()-ROW(E$2)+E$1, COUNTA(Working!$A$2:INDEX(Working!$A:$A, MATCH("zzz", Working!$A:$A)))) + 1))</f>
        <v/>
      </c>
      <c r="F96" t="str" cm="1">
        <f t="array" ref="F96">IF(Working!$A96="","",INDEX(Working!$A$2:INDEX(Working!$A:$A, MATCH("zzz", Working!$A:$A)), MOD(ROW()-ROW(F$2)+F$1, COUNTA(Working!$A$2:INDEX(Working!$A:$A, MATCH("zzz", Working!$A:$A)))) + 1))</f>
        <v/>
      </c>
      <c r="G96" t="str" cm="1">
        <f t="array" ref="G96">IF(Working!$A96="","",INDEX(Working!$A$2:INDEX(Working!$A:$A, MATCH("zzz", Working!$A:$A)), MOD(ROW()-ROW(G$2)+G$1, COUNTA(Working!$A$2:INDEX(Working!$A:$A, MATCH("zzz", Working!$A:$A)))) + 1))</f>
        <v/>
      </c>
      <c r="H96" t="str" cm="1">
        <f t="array" ref="H96">IF(Working!$A96="","",INDEX(Working!$A$2:INDEX(Working!$A:$A, MATCH("zzz", Working!$A:$A)), MOD(ROW()-ROW(H$2)+H$1, COUNTA(Working!$A$2:INDEX(Working!$A:$A, MATCH("zzz", Working!$A:$A)))) + 1))</f>
        <v/>
      </c>
      <c r="I96" t="str" cm="1">
        <f t="array" ref="I96">IF(Working!$A96="","",INDEX(Working!$A$2:INDEX(Working!$A:$A, MATCH("zzz", Working!$A:$A)), MOD(ROW()-ROW(I$2)+I$1, COUNTA(Working!$A$2:INDEX(Working!$A:$A, MATCH("zzz", Working!$A:$A)))) + 1))</f>
        <v/>
      </c>
      <c r="J96" t="str" cm="1">
        <f t="array" ref="J96">IF(Working!$A96="","",INDEX(Working!$A$2:INDEX(Working!$A:$A, MATCH("zzz", Working!$A:$A)), MOD(ROW()-ROW(J$2)+J$1, COUNTA(Working!$A$2:INDEX(Working!$A:$A, MATCH("zzz", Working!$A:$A)))) + 1))</f>
        <v/>
      </c>
      <c r="K96" t="str" cm="1">
        <f t="array" ref="K96">IF(Working!$A96="","",INDEX(Working!$A$2:INDEX(Working!$A:$A, MATCH("zzz", Working!$A:$A)), MOD(ROW()-ROW(K$2)+K$1, COUNTA(Working!$A$2:INDEX(Working!$A:$A, MATCH("zzz", Working!$A:$A)))) + 1))</f>
        <v/>
      </c>
      <c r="L96" t="str" cm="1">
        <f t="array" ref="L96">IF(Working!$A96="","",INDEX(Working!$A$2:INDEX(Working!$A:$A, MATCH("zzz", Working!$A:$A)), MOD(ROW()-ROW(L$2)+L$1, COUNTA(Working!$A$2:INDEX(Working!$A:$A, MATCH("zzz", Working!$A:$A)))) + 1))</f>
        <v/>
      </c>
    </row>
    <row r="97" spans="3:12" ht="15.75" customHeight="1" x14ac:dyDescent="0.2">
      <c r="C97" t="str" cm="1">
        <f t="array" ref="C97">IF(Working!$A97="","",INDEX(Working!$A$2:INDEX(Working!$A:$A, MATCH("zzz", Working!$A:$A)), MOD(ROW()-ROW(C$2)+C$1, COUNTA(Working!$A$2:INDEX(Working!$A:$A, MATCH("zzz", Working!$A:$A)))) + 1))</f>
        <v/>
      </c>
      <c r="D97" t="str" cm="1">
        <f t="array" ref="D97">IF(Working!$A97="","",INDEX(Working!$A$2:INDEX(Working!$A:$A, MATCH("zzz", Working!$A:$A)), MOD(ROW()-ROW(D$2)+D$1, COUNTA(Working!$A$2:INDEX(Working!$A:$A, MATCH("zzz", Working!$A:$A)))) + 1))</f>
        <v/>
      </c>
      <c r="E97" t="str" cm="1">
        <f t="array" ref="E97">IF(Working!$A97="","",INDEX(Working!$A$2:INDEX(Working!$A:$A, MATCH("zzz", Working!$A:$A)), MOD(ROW()-ROW(E$2)+E$1, COUNTA(Working!$A$2:INDEX(Working!$A:$A, MATCH("zzz", Working!$A:$A)))) + 1))</f>
        <v/>
      </c>
      <c r="F97" t="str" cm="1">
        <f t="array" ref="F97">IF(Working!$A97="","",INDEX(Working!$A$2:INDEX(Working!$A:$A, MATCH("zzz", Working!$A:$A)), MOD(ROW()-ROW(F$2)+F$1, COUNTA(Working!$A$2:INDEX(Working!$A:$A, MATCH("zzz", Working!$A:$A)))) + 1))</f>
        <v/>
      </c>
      <c r="G97" t="str" cm="1">
        <f t="array" ref="G97">IF(Working!$A97="","",INDEX(Working!$A$2:INDEX(Working!$A:$A, MATCH("zzz", Working!$A:$A)), MOD(ROW()-ROW(G$2)+G$1, COUNTA(Working!$A$2:INDEX(Working!$A:$A, MATCH("zzz", Working!$A:$A)))) + 1))</f>
        <v/>
      </c>
      <c r="H97" t="str" cm="1">
        <f t="array" ref="H97">IF(Working!$A97="","",INDEX(Working!$A$2:INDEX(Working!$A:$A, MATCH("zzz", Working!$A:$A)), MOD(ROW()-ROW(H$2)+H$1, COUNTA(Working!$A$2:INDEX(Working!$A:$A, MATCH("zzz", Working!$A:$A)))) + 1))</f>
        <v/>
      </c>
      <c r="I97" t="str" cm="1">
        <f t="array" ref="I97">IF(Working!$A97="","",INDEX(Working!$A$2:INDEX(Working!$A:$A, MATCH("zzz", Working!$A:$A)), MOD(ROW()-ROW(I$2)+I$1, COUNTA(Working!$A$2:INDEX(Working!$A:$A, MATCH("zzz", Working!$A:$A)))) + 1))</f>
        <v/>
      </c>
      <c r="J97" t="str" cm="1">
        <f t="array" ref="J97">IF(Working!$A97="","",INDEX(Working!$A$2:INDEX(Working!$A:$A, MATCH("zzz", Working!$A:$A)), MOD(ROW()-ROW(J$2)+J$1, COUNTA(Working!$A$2:INDEX(Working!$A:$A, MATCH("zzz", Working!$A:$A)))) + 1))</f>
        <v/>
      </c>
      <c r="K97" t="str" cm="1">
        <f t="array" ref="K97">IF(Working!$A97="","",INDEX(Working!$A$2:INDEX(Working!$A:$A, MATCH("zzz", Working!$A:$A)), MOD(ROW()-ROW(K$2)+K$1, COUNTA(Working!$A$2:INDEX(Working!$A:$A, MATCH("zzz", Working!$A:$A)))) + 1))</f>
        <v/>
      </c>
      <c r="L97" t="str" cm="1">
        <f t="array" ref="L97">IF(Working!$A97="","",INDEX(Working!$A$2:INDEX(Working!$A:$A, MATCH("zzz", Working!$A:$A)), MOD(ROW()-ROW(L$2)+L$1, COUNTA(Working!$A$2:INDEX(Working!$A:$A, MATCH("zzz", Working!$A:$A)))) + 1))</f>
        <v/>
      </c>
    </row>
    <row r="98" spans="3:12" ht="15.75" customHeight="1" x14ac:dyDescent="0.2">
      <c r="C98" t="str" cm="1">
        <f t="array" ref="C98">IF(Working!$A98="","",INDEX(Working!$A$2:INDEX(Working!$A:$A, MATCH("zzz", Working!$A:$A)), MOD(ROW()-ROW(C$2)+C$1, COUNTA(Working!$A$2:INDEX(Working!$A:$A, MATCH("zzz", Working!$A:$A)))) + 1))</f>
        <v/>
      </c>
      <c r="D98" t="str" cm="1">
        <f t="array" ref="D98">IF(Working!$A98="","",INDEX(Working!$A$2:INDEX(Working!$A:$A, MATCH("zzz", Working!$A:$A)), MOD(ROW()-ROW(D$2)+D$1, COUNTA(Working!$A$2:INDEX(Working!$A:$A, MATCH("zzz", Working!$A:$A)))) + 1))</f>
        <v/>
      </c>
      <c r="E98" t="str" cm="1">
        <f t="array" ref="E98">IF(Working!$A98="","",INDEX(Working!$A$2:INDEX(Working!$A:$A, MATCH("zzz", Working!$A:$A)), MOD(ROW()-ROW(E$2)+E$1, COUNTA(Working!$A$2:INDEX(Working!$A:$A, MATCH("zzz", Working!$A:$A)))) + 1))</f>
        <v/>
      </c>
      <c r="F98" t="str" cm="1">
        <f t="array" ref="F98">IF(Working!$A98="","",INDEX(Working!$A$2:INDEX(Working!$A:$A, MATCH("zzz", Working!$A:$A)), MOD(ROW()-ROW(F$2)+F$1, COUNTA(Working!$A$2:INDEX(Working!$A:$A, MATCH("zzz", Working!$A:$A)))) + 1))</f>
        <v/>
      </c>
      <c r="G98" t="str" cm="1">
        <f t="array" ref="G98">IF(Working!$A98="","",INDEX(Working!$A$2:INDEX(Working!$A:$A, MATCH("zzz", Working!$A:$A)), MOD(ROW()-ROW(G$2)+G$1, COUNTA(Working!$A$2:INDEX(Working!$A:$A, MATCH("zzz", Working!$A:$A)))) + 1))</f>
        <v/>
      </c>
      <c r="H98" t="str" cm="1">
        <f t="array" ref="H98">IF(Working!$A98="","",INDEX(Working!$A$2:INDEX(Working!$A:$A, MATCH("zzz", Working!$A:$A)), MOD(ROW()-ROW(H$2)+H$1, COUNTA(Working!$A$2:INDEX(Working!$A:$A, MATCH("zzz", Working!$A:$A)))) + 1))</f>
        <v/>
      </c>
      <c r="I98" t="str" cm="1">
        <f t="array" ref="I98">IF(Working!$A98="","",INDEX(Working!$A$2:INDEX(Working!$A:$A, MATCH("zzz", Working!$A:$A)), MOD(ROW()-ROW(I$2)+I$1, COUNTA(Working!$A$2:INDEX(Working!$A:$A, MATCH("zzz", Working!$A:$A)))) + 1))</f>
        <v/>
      </c>
      <c r="J98" t="str" cm="1">
        <f t="array" ref="J98">IF(Working!$A98="","",INDEX(Working!$A$2:INDEX(Working!$A:$A, MATCH("zzz", Working!$A:$A)), MOD(ROW()-ROW(J$2)+J$1, COUNTA(Working!$A$2:INDEX(Working!$A:$A, MATCH("zzz", Working!$A:$A)))) + 1))</f>
        <v/>
      </c>
      <c r="K98" t="str" cm="1">
        <f t="array" ref="K98">IF(Working!$A98="","",INDEX(Working!$A$2:INDEX(Working!$A:$A, MATCH("zzz", Working!$A:$A)), MOD(ROW()-ROW(K$2)+K$1, COUNTA(Working!$A$2:INDEX(Working!$A:$A, MATCH("zzz", Working!$A:$A)))) + 1))</f>
        <v/>
      </c>
      <c r="L98" t="str" cm="1">
        <f t="array" ref="L98">IF(Working!$A98="","",INDEX(Working!$A$2:INDEX(Working!$A:$A, MATCH("zzz", Working!$A:$A)), MOD(ROW()-ROW(L$2)+L$1, COUNTA(Working!$A$2:INDEX(Working!$A:$A, MATCH("zzz", Working!$A:$A)))) + 1))</f>
        <v/>
      </c>
    </row>
    <row r="99" spans="3:12" ht="15.75" customHeight="1" x14ac:dyDescent="0.2">
      <c r="C99" t="str" cm="1">
        <f t="array" ref="C99">IF(Working!$A99="","",INDEX(Working!$A$2:INDEX(Working!$A:$A, MATCH("zzz", Working!$A:$A)), MOD(ROW()-ROW(C$2)+C$1, COUNTA(Working!$A$2:INDEX(Working!$A:$A, MATCH("zzz", Working!$A:$A)))) + 1))</f>
        <v/>
      </c>
      <c r="D99" t="str" cm="1">
        <f t="array" ref="D99">IF(Working!$A99="","",INDEX(Working!$A$2:INDEX(Working!$A:$A, MATCH("zzz", Working!$A:$A)), MOD(ROW()-ROW(D$2)+D$1, COUNTA(Working!$A$2:INDEX(Working!$A:$A, MATCH("zzz", Working!$A:$A)))) + 1))</f>
        <v/>
      </c>
      <c r="E99" t="str" cm="1">
        <f t="array" ref="E99">IF(Working!$A99="","",INDEX(Working!$A$2:INDEX(Working!$A:$A, MATCH("zzz", Working!$A:$A)), MOD(ROW()-ROW(E$2)+E$1, COUNTA(Working!$A$2:INDEX(Working!$A:$A, MATCH("zzz", Working!$A:$A)))) + 1))</f>
        <v/>
      </c>
      <c r="F99" t="str" cm="1">
        <f t="array" ref="F99">IF(Working!$A99="","",INDEX(Working!$A$2:INDEX(Working!$A:$A, MATCH("zzz", Working!$A:$A)), MOD(ROW()-ROW(F$2)+F$1, COUNTA(Working!$A$2:INDEX(Working!$A:$A, MATCH("zzz", Working!$A:$A)))) + 1))</f>
        <v/>
      </c>
      <c r="G99" t="str" cm="1">
        <f t="array" ref="G99">IF(Working!$A99="","",INDEX(Working!$A$2:INDEX(Working!$A:$A, MATCH("zzz", Working!$A:$A)), MOD(ROW()-ROW(G$2)+G$1, COUNTA(Working!$A$2:INDEX(Working!$A:$A, MATCH("zzz", Working!$A:$A)))) + 1))</f>
        <v/>
      </c>
      <c r="H99" t="str" cm="1">
        <f t="array" ref="H99">IF(Working!$A99="","",INDEX(Working!$A$2:INDEX(Working!$A:$A, MATCH("zzz", Working!$A:$A)), MOD(ROW()-ROW(H$2)+H$1, COUNTA(Working!$A$2:INDEX(Working!$A:$A, MATCH("zzz", Working!$A:$A)))) + 1))</f>
        <v/>
      </c>
      <c r="I99" t="str" cm="1">
        <f t="array" ref="I99">IF(Working!$A99="","",INDEX(Working!$A$2:INDEX(Working!$A:$A, MATCH("zzz", Working!$A:$A)), MOD(ROW()-ROW(I$2)+I$1, COUNTA(Working!$A$2:INDEX(Working!$A:$A, MATCH("zzz", Working!$A:$A)))) + 1))</f>
        <v/>
      </c>
      <c r="J99" t="str" cm="1">
        <f t="array" ref="J99">IF(Working!$A99="","",INDEX(Working!$A$2:INDEX(Working!$A:$A, MATCH("zzz", Working!$A:$A)), MOD(ROW()-ROW(J$2)+J$1, COUNTA(Working!$A$2:INDEX(Working!$A:$A, MATCH("zzz", Working!$A:$A)))) + 1))</f>
        <v/>
      </c>
      <c r="K99" t="str" cm="1">
        <f t="array" ref="K99">IF(Working!$A99="","",INDEX(Working!$A$2:INDEX(Working!$A:$A, MATCH("zzz", Working!$A:$A)), MOD(ROW()-ROW(K$2)+K$1, COUNTA(Working!$A$2:INDEX(Working!$A:$A, MATCH("zzz", Working!$A:$A)))) + 1))</f>
        <v/>
      </c>
      <c r="L99" t="str" cm="1">
        <f t="array" ref="L99">IF(Working!$A99="","",INDEX(Working!$A$2:INDEX(Working!$A:$A, MATCH("zzz", Working!$A:$A)), MOD(ROW()-ROW(L$2)+L$1, COUNTA(Working!$A$2:INDEX(Working!$A:$A, MATCH("zzz", Working!$A:$A)))) + 1))</f>
        <v/>
      </c>
    </row>
    <row r="100" spans="3:12" ht="15.75" customHeight="1" x14ac:dyDescent="0.2">
      <c r="C100" t="str" cm="1">
        <f t="array" ref="C100">IF(Working!$A100="","",INDEX(Working!$A$2:INDEX(Working!$A:$A, MATCH("zzz", Working!$A:$A)), MOD(ROW()-ROW(C$2)+C$1, COUNTA(Working!$A$2:INDEX(Working!$A:$A, MATCH("zzz", Working!$A:$A)))) + 1))</f>
        <v/>
      </c>
      <c r="D100" t="str" cm="1">
        <f t="array" ref="D100">IF(Working!$A100="","",INDEX(Working!$A$2:INDEX(Working!$A:$A, MATCH("zzz", Working!$A:$A)), MOD(ROW()-ROW(D$2)+D$1, COUNTA(Working!$A$2:INDEX(Working!$A:$A, MATCH("zzz", Working!$A:$A)))) + 1))</f>
        <v/>
      </c>
      <c r="E100" t="str" cm="1">
        <f t="array" ref="E100">IF(Working!$A100="","",INDEX(Working!$A$2:INDEX(Working!$A:$A, MATCH("zzz", Working!$A:$A)), MOD(ROW()-ROW(E$2)+E$1, COUNTA(Working!$A$2:INDEX(Working!$A:$A, MATCH("zzz", Working!$A:$A)))) + 1))</f>
        <v/>
      </c>
      <c r="F100" t="str" cm="1">
        <f t="array" ref="F100">IF(Working!$A100="","",INDEX(Working!$A$2:INDEX(Working!$A:$A, MATCH("zzz", Working!$A:$A)), MOD(ROW()-ROW(F$2)+F$1, COUNTA(Working!$A$2:INDEX(Working!$A:$A, MATCH("zzz", Working!$A:$A)))) + 1))</f>
        <v/>
      </c>
      <c r="G100" t="str" cm="1">
        <f t="array" ref="G100">IF(Working!$A100="","",INDEX(Working!$A$2:INDEX(Working!$A:$A, MATCH("zzz", Working!$A:$A)), MOD(ROW()-ROW(G$2)+G$1, COUNTA(Working!$A$2:INDEX(Working!$A:$A, MATCH("zzz", Working!$A:$A)))) + 1))</f>
        <v/>
      </c>
      <c r="H100" t="str" cm="1">
        <f t="array" ref="H100">IF(Working!$A100="","",INDEX(Working!$A$2:INDEX(Working!$A:$A, MATCH("zzz", Working!$A:$A)), MOD(ROW()-ROW(H$2)+H$1, COUNTA(Working!$A$2:INDEX(Working!$A:$A, MATCH("zzz", Working!$A:$A)))) + 1))</f>
        <v/>
      </c>
      <c r="I100" t="str" cm="1">
        <f t="array" ref="I100">IF(Working!$A100="","",INDEX(Working!$A$2:INDEX(Working!$A:$A, MATCH("zzz", Working!$A:$A)), MOD(ROW()-ROW(I$2)+I$1, COUNTA(Working!$A$2:INDEX(Working!$A:$A, MATCH("zzz", Working!$A:$A)))) + 1))</f>
        <v/>
      </c>
      <c r="J100" t="str" cm="1">
        <f t="array" ref="J100">IF(Working!$A100="","",INDEX(Working!$A$2:INDEX(Working!$A:$A, MATCH("zzz", Working!$A:$A)), MOD(ROW()-ROW(J$2)+J$1, COUNTA(Working!$A$2:INDEX(Working!$A:$A, MATCH("zzz", Working!$A:$A)))) + 1))</f>
        <v/>
      </c>
      <c r="K100" t="str" cm="1">
        <f t="array" ref="K100">IF(Working!$A100="","",INDEX(Working!$A$2:INDEX(Working!$A:$A, MATCH("zzz", Working!$A:$A)), MOD(ROW()-ROW(K$2)+K$1, COUNTA(Working!$A$2:INDEX(Working!$A:$A, MATCH("zzz", Working!$A:$A)))) + 1))</f>
        <v/>
      </c>
      <c r="L100" t="str" cm="1">
        <f t="array" ref="L100">IF(Working!$A100="","",INDEX(Working!$A$2:INDEX(Working!$A:$A, MATCH("zzz", Working!$A:$A)), MOD(ROW()-ROW(L$2)+L$1, COUNTA(Working!$A$2:INDEX(Working!$A:$A, MATCH("zzz", Working!$A:$A)))) + 1))</f>
        <v/>
      </c>
    </row>
    <row r="101" spans="3:12" ht="15.75" customHeight="1" x14ac:dyDescent="0.2">
      <c r="C101" t="str" cm="1">
        <f t="array" ref="C101">IF(Working!$A101="","",INDEX(Working!$A$2:INDEX(Working!$A:$A, MATCH("zzz", Working!$A:$A)), MOD(ROW()-ROW(C$2)+C$1, COUNTA(Working!$A$2:INDEX(Working!$A:$A, MATCH("zzz", Working!$A:$A)))) + 1))</f>
        <v/>
      </c>
      <c r="D101" t="str" cm="1">
        <f t="array" ref="D101">IF(Working!$A101="","",INDEX(Working!$A$2:INDEX(Working!$A:$A, MATCH("zzz", Working!$A:$A)), MOD(ROW()-ROW(D$2)+D$1, COUNTA(Working!$A$2:INDEX(Working!$A:$A, MATCH("zzz", Working!$A:$A)))) + 1))</f>
        <v/>
      </c>
      <c r="E101" t="str" cm="1">
        <f t="array" ref="E101">IF(Working!$A101="","",INDEX(Working!$A$2:INDEX(Working!$A:$A, MATCH("zzz", Working!$A:$A)), MOD(ROW()-ROW(E$2)+E$1, COUNTA(Working!$A$2:INDEX(Working!$A:$A, MATCH("zzz", Working!$A:$A)))) + 1))</f>
        <v/>
      </c>
      <c r="F101" t="str" cm="1">
        <f t="array" ref="F101">IF(Working!$A101="","",INDEX(Working!$A$2:INDEX(Working!$A:$A, MATCH("zzz", Working!$A:$A)), MOD(ROW()-ROW(F$2)+F$1, COUNTA(Working!$A$2:INDEX(Working!$A:$A, MATCH("zzz", Working!$A:$A)))) + 1))</f>
        <v/>
      </c>
      <c r="G101" t="str" cm="1">
        <f t="array" ref="G101">IF(Working!$A101="","",INDEX(Working!$A$2:INDEX(Working!$A:$A, MATCH("zzz", Working!$A:$A)), MOD(ROW()-ROW(G$2)+G$1, COUNTA(Working!$A$2:INDEX(Working!$A:$A, MATCH("zzz", Working!$A:$A)))) + 1))</f>
        <v/>
      </c>
      <c r="H101" t="str" cm="1">
        <f t="array" ref="H101">IF(Working!$A101="","",INDEX(Working!$A$2:INDEX(Working!$A:$A, MATCH("zzz", Working!$A:$A)), MOD(ROW()-ROW(H$2)+H$1, COUNTA(Working!$A$2:INDEX(Working!$A:$A, MATCH("zzz", Working!$A:$A)))) + 1))</f>
        <v/>
      </c>
      <c r="I101" t="str" cm="1">
        <f t="array" ref="I101">IF(Working!$A101="","",INDEX(Working!$A$2:INDEX(Working!$A:$A, MATCH("zzz", Working!$A:$A)), MOD(ROW()-ROW(I$2)+I$1, COUNTA(Working!$A$2:INDEX(Working!$A:$A, MATCH("zzz", Working!$A:$A)))) + 1))</f>
        <v/>
      </c>
      <c r="J101" t="str" cm="1">
        <f t="array" ref="J101">IF(Working!$A101="","",INDEX(Working!$A$2:INDEX(Working!$A:$A, MATCH("zzz", Working!$A:$A)), MOD(ROW()-ROW(J$2)+J$1, COUNTA(Working!$A$2:INDEX(Working!$A:$A, MATCH("zzz", Working!$A:$A)))) + 1))</f>
        <v/>
      </c>
      <c r="K101" t="str" cm="1">
        <f t="array" ref="K101">IF(Working!$A101="","",INDEX(Working!$A$2:INDEX(Working!$A:$A, MATCH("zzz", Working!$A:$A)), MOD(ROW()-ROW(K$2)+K$1, COUNTA(Working!$A$2:INDEX(Working!$A:$A, MATCH("zzz", Working!$A:$A)))) + 1))</f>
        <v/>
      </c>
      <c r="L101" t="str" cm="1">
        <f t="array" ref="L101">IF(Working!$A101="","",INDEX(Working!$A$2:INDEX(Working!$A:$A, MATCH("zzz", Working!$A:$A)), MOD(ROW()-ROW(L$2)+L$1, COUNTA(Working!$A$2:INDEX(Working!$A:$A, MATCH("zzz", Working!$A:$A)))) + 1))</f>
        <v/>
      </c>
    </row>
    <row r="102" spans="3:12" ht="15.75" customHeight="1" x14ac:dyDescent="0.2">
      <c r="C102" t="str" cm="1">
        <f t="array" ref="C102">IF(Working!$A102="","",INDEX(Working!$A$2:INDEX(Working!$A:$A, MATCH("zzz", Working!$A:$A)), MOD(ROW()-ROW(C$2)+C$1, COUNTA(Working!$A$2:INDEX(Working!$A:$A, MATCH("zzz", Working!$A:$A)))) + 1))</f>
        <v/>
      </c>
      <c r="D102" t="str" cm="1">
        <f t="array" ref="D102">IF(Working!$A102="","",INDEX(Working!$A$2:INDEX(Working!$A:$A, MATCH("zzz", Working!$A:$A)), MOD(ROW()-ROW(D$2)+D$1, COUNTA(Working!$A$2:INDEX(Working!$A:$A, MATCH("zzz", Working!$A:$A)))) + 1))</f>
        <v/>
      </c>
      <c r="E102" t="str" cm="1">
        <f t="array" ref="E102">IF(Working!$A102="","",INDEX(Working!$A$2:INDEX(Working!$A:$A, MATCH("zzz", Working!$A:$A)), MOD(ROW()-ROW(E$2)+E$1, COUNTA(Working!$A$2:INDEX(Working!$A:$A, MATCH("zzz", Working!$A:$A)))) + 1))</f>
        <v/>
      </c>
      <c r="F102" t="str" cm="1">
        <f t="array" ref="F102">IF(Working!$A102="","",INDEX(Working!$A$2:INDEX(Working!$A:$A, MATCH("zzz", Working!$A:$A)), MOD(ROW()-ROW(F$2)+F$1, COUNTA(Working!$A$2:INDEX(Working!$A:$A, MATCH("zzz", Working!$A:$A)))) + 1))</f>
        <v/>
      </c>
      <c r="G102" t="str" cm="1">
        <f t="array" ref="G102">IF(Working!$A102="","",INDEX(Working!$A$2:INDEX(Working!$A:$A, MATCH("zzz", Working!$A:$A)), MOD(ROW()-ROW(G$2)+G$1, COUNTA(Working!$A$2:INDEX(Working!$A:$A, MATCH("zzz", Working!$A:$A)))) + 1))</f>
        <v/>
      </c>
      <c r="H102" t="str" cm="1">
        <f t="array" ref="H102">IF(Working!$A102="","",INDEX(Working!$A$2:INDEX(Working!$A:$A, MATCH("zzz", Working!$A:$A)), MOD(ROW()-ROW(H$2)+H$1, COUNTA(Working!$A$2:INDEX(Working!$A:$A, MATCH("zzz", Working!$A:$A)))) + 1))</f>
        <v/>
      </c>
      <c r="I102" t="str" cm="1">
        <f t="array" ref="I102">IF(Working!$A102="","",INDEX(Working!$A$2:INDEX(Working!$A:$A, MATCH("zzz", Working!$A:$A)), MOD(ROW()-ROW(I$2)+I$1, COUNTA(Working!$A$2:INDEX(Working!$A:$A, MATCH("zzz", Working!$A:$A)))) + 1))</f>
        <v/>
      </c>
      <c r="J102" t="str" cm="1">
        <f t="array" ref="J102">IF(Working!$A102="","",INDEX(Working!$A$2:INDEX(Working!$A:$A, MATCH("zzz", Working!$A:$A)), MOD(ROW()-ROW(J$2)+J$1, COUNTA(Working!$A$2:INDEX(Working!$A:$A, MATCH("zzz", Working!$A:$A)))) + 1))</f>
        <v/>
      </c>
      <c r="K102" t="str" cm="1">
        <f t="array" ref="K102">IF(Working!$A102="","",INDEX(Working!$A$2:INDEX(Working!$A:$A, MATCH("zzz", Working!$A:$A)), MOD(ROW()-ROW(K$2)+K$1, COUNTA(Working!$A$2:INDEX(Working!$A:$A, MATCH("zzz", Working!$A:$A)))) + 1))</f>
        <v/>
      </c>
      <c r="L102" t="str" cm="1">
        <f t="array" ref="L102">IF(Working!$A102="","",INDEX(Working!$A$2:INDEX(Working!$A:$A, MATCH("zzz", Working!$A:$A)), MOD(ROW()-ROW(L$2)+L$1, COUNTA(Working!$A$2:INDEX(Working!$A:$A, MATCH("zzz", Working!$A:$A)))) + 1))</f>
        <v/>
      </c>
    </row>
    <row r="103" spans="3:12" ht="15.75" customHeight="1" x14ac:dyDescent="0.2">
      <c r="C103" t="str" cm="1">
        <f t="array" ref="C103">IF(Working!$A103="","",INDEX(Working!$A$2:INDEX(Working!$A:$A, MATCH("zzz", Working!$A:$A)), MOD(ROW()-ROW(C$2)+C$1, COUNTA(Working!$A$2:INDEX(Working!$A:$A, MATCH("zzz", Working!$A:$A)))) + 1))</f>
        <v/>
      </c>
      <c r="D103" t="str" cm="1">
        <f t="array" ref="D103">IF(Working!$A103="","",INDEX(Working!$A$2:INDEX(Working!$A:$A, MATCH("zzz", Working!$A:$A)), MOD(ROW()-ROW(D$2)+D$1, COUNTA(Working!$A$2:INDEX(Working!$A:$A, MATCH("zzz", Working!$A:$A)))) + 1))</f>
        <v/>
      </c>
      <c r="E103" t="str" cm="1">
        <f t="array" ref="E103">IF(Working!$A103="","",INDEX(Working!$A$2:INDEX(Working!$A:$A, MATCH("zzz", Working!$A:$A)), MOD(ROW()-ROW(E$2)+E$1, COUNTA(Working!$A$2:INDEX(Working!$A:$A, MATCH("zzz", Working!$A:$A)))) + 1))</f>
        <v/>
      </c>
      <c r="F103" t="str" cm="1">
        <f t="array" ref="F103">IF(Working!$A103="","",INDEX(Working!$A$2:INDEX(Working!$A:$A, MATCH("zzz", Working!$A:$A)), MOD(ROW()-ROW(F$2)+F$1, COUNTA(Working!$A$2:INDEX(Working!$A:$A, MATCH("zzz", Working!$A:$A)))) + 1))</f>
        <v/>
      </c>
      <c r="G103" t="str" cm="1">
        <f t="array" ref="G103">IF(Working!$A103="","",INDEX(Working!$A$2:INDEX(Working!$A:$A, MATCH("zzz", Working!$A:$A)), MOD(ROW()-ROW(G$2)+G$1, COUNTA(Working!$A$2:INDEX(Working!$A:$A, MATCH("zzz", Working!$A:$A)))) + 1))</f>
        <v/>
      </c>
      <c r="H103" t="str" cm="1">
        <f t="array" ref="H103">IF(Working!$A103="","",INDEX(Working!$A$2:INDEX(Working!$A:$A, MATCH("zzz", Working!$A:$A)), MOD(ROW()-ROW(H$2)+H$1, COUNTA(Working!$A$2:INDEX(Working!$A:$A, MATCH("zzz", Working!$A:$A)))) + 1))</f>
        <v/>
      </c>
      <c r="I103" t="str" cm="1">
        <f t="array" ref="I103">IF(Working!$A103="","",INDEX(Working!$A$2:INDEX(Working!$A:$A, MATCH("zzz", Working!$A:$A)), MOD(ROW()-ROW(I$2)+I$1, COUNTA(Working!$A$2:INDEX(Working!$A:$A, MATCH("zzz", Working!$A:$A)))) + 1))</f>
        <v/>
      </c>
      <c r="J103" t="str" cm="1">
        <f t="array" ref="J103">IF(Working!$A103="","",INDEX(Working!$A$2:INDEX(Working!$A:$A, MATCH("zzz", Working!$A:$A)), MOD(ROW()-ROW(J$2)+J$1, COUNTA(Working!$A$2:INDEX(Working!$A:$A, MATCH("zzz", Working!$A:$A)))) + 1))</f>
        <v/>
      </c>
      <c r="K103" t="str" cm="1">
        <f t="array" ref="K103">IF(Working!$A103="","",INDEX(Working!$A$2:INDEX(Working!$A:$A, MATCH("zzz", Working!$A:$A)), MOD(ROW()-ROW(K$2)+K$1, COUNTA(Working!$A$2:INDEX(Working!$A:$A, MATCH("zzz", Working!$A:$A)))) + 1))</f>
        <v/>
      </c>
      <c r="L103" t="str" cm="1">
        <f t="array" ref="L103">IF(Working!$A103="","",INDEX(Working!$A$2:INDEX(Working!$A:$A, MATCH("zzz", Working!$A:$A)), MOD(ROW()-ROW(L$2)+L$1, COUNTA(Working!$A$2:INDEX(Working!$A:$A, MATCH("zzz", Working!$A:$A)))) + 1))</f>
        <v/>
      </c>
    </row>
    <row r="104" spans="3:12" ht="15.75" customHeight="1" x14ac:dyDescent="0.2">
      <c r="C104" t="str" cm="1">
        <f t="array" ref="C104">IF(Working!$A104="","",INDEX(Working!$A$2:INDEX(Working!$A:$A, MATCH("zzz", Working!$A:$A)), MOD(ROW()-ROW(C$2)+C$1, COUNTA(Working!$A$2:INDEX(Working!$A:$A, MATCH("zzz", Working!$A:$A)))) + 1))</f>
        <v/>
      </c>
      <c r="D104" t="str" cm="1">
        <f t="array" ref="D104">IF(Working!$A104="","",INDEX(Working!$A$2:INDEX(Working!$A:$A, MATCH("zzz", Working!$A:$A)), MOD(ROW()-ROW(D$2)+D$1, COUNTA(Working!$A$2:INDEX(Working!$A:$A, MATCH("zzz", Working!$A:$A)))) + 1))</f>
        <v/>
      </c>
      <c r="E104" t="str" cm="1">
        <f t="array" ref="E104">IF(Working!$A104="","",INDEX(Working!$A$2:INDEX(Working!$A:$A, MATCH("zzz", Working!$A:$A)), MOD(ROW()-ROW(E$2)+E$1, COUNTA(Working!$A$2:INDEX(Working!$A:$A, MATCH("zzz", Working!$A:$A)))) + 1))</f>
        <v/>
      </c>
      <c r="F104" t="str" cm="1">
        <f t="array" ref="F104">IF(Working!$A104="","",INDEX(Working!$A$2:INDEX(Working!$A:$A, MATCH("zzz", Working!$A:$A)), MOD(ROW()-ROW(F$2)+F$1, COUNTA(Working!$A$2:INDEX(Working!$A:$A, MATCH("zzz", Working!$A:$A)))) + 1))</f>
        <v/>
      </c>
      <c r="G104" t="str" cm="1">
        <f t="array" ref="G104">IF(Working!$A104="","",INDEX(Working!$A$2:INDEX(Working!$A:$A, MATCH("zzz", Working!$A:$A)), MOD(ROW()-ROW(G$2)+G$1, COUNTA(Working!$A$2:INDEX(Working!$A:$A, MATCH("zzz", Working!$A:$A)))) + 1))</f>
        <v/>
      </c>
      <c r="H104" t="str" cm="1">
        <f t="array" ref="H104">IF(Working!$A104="","",INDEX(Working!$A$2:INDEX(Working!$A:$A, MATCH("zzz", Working!$A:$A)), MOD(ROW()-ROW(H$2)+H$1, COUNTA(Working!$A$2:INDEX(Working!$A:$A, MATCH("zzz", Working!$A:$A)))) + 1))</f>
        <v/>
      </c>
      <c r="I104" t="str" cm="1">
        <f t="array" ref="I104">IF(Working!$A104="","",INDEX(Working!$A$2:INDEX(Working!$A:$A, MATCH("zzz", Working!$A:$A)), MOD(ROW()-ROW(I$2)+I$1, COUNTA(Working!$A$2:INDEX(Working!$A:$A, MATCH("zzz", Working!$A:$A)))) + 1))</f>
        <v/>
      </c>
      <c r="J104" t="str" cm="1">
        <f t="array" ref="J104">IF(Working!$A104="","",INDEX(Working!$A$2:INDEX(Working!$A:$A, MATCH("zzz", Working!$A:$A)), MOD(ROW()-ROW(J$2)+J$1, COUNTA(Working!$A$2:INDEX(Working!$A:$A, MATCH("zzz", Working!$A:$A)))) + 1))</f>
        <v/>
      </c>
      <c r="K104" t="str" cm="1">
        <f t="array" ref="K104">IF(Working!$A104="","",INDEX(Working!$A$2:INDEX(Working!$A:$A, MATCH("zzz", Working!$A:$A)), MOD(ROW()-ROW(K$2)+K$1, COUNTA(Working!$A$2:INDEX(Working!$A:$A, MATCH("zzz", Working!$A:$A)))) + 1))</f>
        <v/>
      </c>
      <c r="L104" t="str" cm="1">
        <f t="array" ref="L104">IF(Working!$A104="","",INDEX(Working!$A$2:INDEX(Working!$A:$A, MATCH("zzz", Working!$A:$A)), MOD(ROW()-ROW(L$2)+L$1, COUNTA(Working!$A$2:INDEX(Working!$A:$A, MATCH("zzz", Working!$A:$A)))) + 1))</f>
        <v/>
      </c>
    </row>
    <row r="105" spans="3:12" ht="15.75" customHeight="1" x14ac:dyDescent="0.2">
      <c r="C105" t="str" cm="1">
        <f t="array" ref="C105">IF(Working!$A105="","",INDEX(Working!$A$2:INDEX(Working!$A:$A, MATCH("zzz", Working!$A:$A)), MOD(ROW()-ROW(C$2)+C$1, COUNTA(Working!$A$2:INDEX(Working!$A:$A, MATCH("zzz", Working!$A:$A)))) + 1))</f>
        <v/>
      </c>
      <c r="D105" t="str" cm="1">
        <f t="array" ref="D105">IF(Working!$A105="","",INDEX(Working!$A$2:INDEX(Working!$A:$A, MATCH("zzz", Working!$A:$A)), MOD(ROW()-ROW(D$2)+D$1, COUNTA(Working!$A$2:INDEX(Working!$A:$A, MATCH("zzz", Working!$A:$A)))) + 1))</f>
        <v/>
      </c>
      <c r="E105" t="str" cm="1">
        <f t="array" ref="E105">IF(Working!$A105="","",INDEX(Working!$A$2:INDEX(Working!$A:$A, MATCH("zzz", Working!$A:$A)), MOD(ROW()-ROW(E$2)+E$1, COUNTA(Working!$A$2:INDEX(Working!$A:$A, MATCH("zzz", Working!$A:$A)))) + 1))</f>
        <v/>
      </c>
      <c r="F105" t="str" cm="1">
        <f t="array" ref="F105">IF(Working!$A105="","",INDEX(Working!$A$2:INDEX(Working!$A:$A, MATCH("zzz", Working!$A:$A)), MOD(ROW()-ROW(F$2)+F$1, COUNTA(Working!$A$2:INDEX(Working!$A:$A, MATCH("zzz", Working!$A:$A)))) + 1))</f>
        <v/>
      </c>
      <c r="G105" t="str" cm="1">
        <f t="array" ref="G105">IF(Working!$A105="","",INDEX(Working!$A$2:INDEX(Working!$A:$A, MATCH("zzz", Working!$A:$A)), MOD(ROW()-ROW(G$2)+G$1, COUNTA(Working!$A$2:INDEX(Working!$A:$A, MATCH("zzz", Working!$A:$A)))) + 1))</f>
        <v/>
      </c>
      <c r="H105" t="str" cm="1">
        <f t="array" ref="H105">IF(Working!$A105="","",INDEX(Working!$A$2:INDEX(Working!$A:$A, MATCH("zzz", Working!$A:$A)), MOD(ROW()-ROW(H$2)+H$1, COUNTA(Working!$A$2:INDEX(Working!$A:$A, MATCH("zzz", Working!$A:$A)))) + 1))</f>
        <v/>
      </c>
      <c r="I105" t="str" cm="1">
        <f t="array" ref="I105">IF(Working!$A105="","",INDEX(Working!$A$2:INDEX(Working!$A:$A, MATCH("zzz", Working!$A:$A)), MOD(ROW()-ROW(I$2)+I$1, COUNTA(Working!$A$2:INDEX(Working!$A:$A, MATCH("zzz", Working!$A:$A)))) + 1))</f>
        <v/>
      </c>
      <c r="J105" t="str" cm="1">
        <f t="array" ref="J105">IF(Working!$A105="","",INDEX(Working!$A$2:INDEX(Working!$A:$A, MATCH("zzz", Working!$A:$A)), MOD(ROW()-ROW(J$2)+J$1, COUNTA(Working!$A$2:INDEX(Working!$A:$A, MATCH("zzz", Working!$A:$A)))) + 1))</f>
        <v/>
      </c>
      <c r="K105" t="str" cm="1">
        <f t="array" ref="K105">IF(Working!$A105="","",INDEX(Working!$A$2:INDEX(Working!$A:$A, MATCH("zzz", Working!$A:$A)), MOD(ROW()-ROW(K$2)+K$1, COUNTA(Working!$A$2:INDEX(Working!$A:$A, MATCH("zzz", Working!$A:$A)))) + 1))</f>
        <v/>
      </c>
      <c r="L105" t="str" cm="1">
        <f t="array" ref="L105">IF(Working!$A105="","",INDEX(Working!$A$2:INDEX(Working!$A:$A, MATCH("zzz", Working!$A:$A)), MOD(ROW()-ROW(L$2)+L$1, COUNTA(Working!$A$2:INDEX(Working!$A:$A, MATCH("zzz", Working!$A:$A)))) + 1))</f>
        <v/>
      </c>
    </row>
    <row r="106" spans="3:12" ht="15.75" customHeight="1" x14ac:dyDescent="0.2">
      <c r="C106" t="str" cm="1">
        <f t="array" ref="C106">IF(Working!$A106="","",INDEX(Working!$A$2:INDEX(Working!$A:$A, MATCH("zzz", Working!$A:$A)), MOD(ROW()-ROW(C$2)+C$1, COUNTA(Working!$A$2:INDEX(Working!$A:$A, MATCH("zzz", Working!$A:$A)))) + 1))</f>
        <v/>
      </c>
      <c r="D106" t="str" cm="1">
        <f t="array" ref="D106">IF(Working!$A106="","",INDEX(Working!$A$2:INDEX(Working!$A:$A, MATCH("zzz", Working!$A:$A)), MOD(ROW()-ROW(D$2)+D$1, COUNTA(Working!$A$2:INDEX(Working!$A:$A, MATCH("zzz", Working!$A:$A)))) + 1))</f>
        <v/>
      </c>
      <c r="E106" t="str" cm="1">
        <f t="array" ref="E106">IF(Working!$A106="","",INDEX(Working!$A$2:INDEX(Working!$A:$A, MATCH("zzz", Working!$A:$A)), MOD(ROW()-ROW(E$2)+E$1, COUNTA(Working!$A$2:INDEX(Working!$A:$A, MATCH("zzz", Working!$A:$A)))) + 1))</f>
        <v/>
      </c>
      <c r="F106" t="str" cm="1">
        <f t="array" ref="F106">IF(Working!$A106="","",INDEX(Working!$A$2:INDEX(Working!$A:$A, MATCH("zzz", Working!$A:$A)), MOD(ROW()-ROW(F$2)+F$1, COUNTA(Working!$A$2:INDEX(Working!$A:$A, MATCH("zzz", Working!$A:$A)))) + 1))</f>
        <v/>
      </c>
      <c r="G106" t="str" cm="1">
        <f t="array" ref="G106">IF(Working!$A106="","",INDEX(Working!$A$2:INDEX(Working!$A:$A, MATCH("zzz", Working!$A:$A)), MOD(ROW()-ROW(G$2)+G$1, COUNTA(Working!$A$2:INDEX(Working!$A:$A, MATCH("zzz", Working!$A:$A)))) + 1))</f>
        <v/>
      </c>
      <c r="H106" t="str" cm="1">
        <f t="array" ref="H106">IF(Working!$A106="","",INDEX(Working!$A$2:INDEX(Working!$A:$A, MATCH("zzz", Working!$A:$A)), MOD(ROW()-ROW(H$2)+H$1, COUNTA(Working!$A$2:INDEX(Working!$A:$A, MATCH("zzz", Working!$A:$A)))) + 1))</f>
        <v/>
      </c>
      <c r="I106" t="str" cm="1">
        <f t="array" ref="I106">IF(Working!$A106="","",INDEX(Working!$A$2:INDEX(Working!$A:$A, MATCH("zzz", Working!$A:$A)), MOD(ROW()-ROW(I$2)+I$1, COUNTA(Working!$A$2:INDEX(Working!$A:$A, MATCH("zzz", Working!$A:$A)))) + 1))</f>
        <v/>
      </c>
      <c r="J106" t="str" cm="1">
        <f t="array" ref="J106">IF(Working!$A106="","",INDEX(Working!$A$2:INDEX(Working!$A:$A, MATCH("zzz", Working!$A:$A)), MOD(ROW()-ROW(J$2)+J$1, COUNTA(Working!$A$2:INDEX(Working!$A:$A, MATCH("zzz", Working!$A:$A)))) + 1))</f>
        <v/>
      </c>
      <c r="K106" t="str" cm="1">
        <f t="array" ref="K106">IF(Working!$A106="","",INDEX(Working!$A$2:INDEX(Working!$A:$A, MATCH("zzz", Working!$A:$A)), MOD(ROW()-ROW(K$2)+K$1, COUNTA(Working!$A$2:INDEX(Working!$A:$A, MATCH("zzz", Working!$A:$A)))) + 1))</f>
        <v/>
      </c>
      <c r="L106" t="str" cm="1">
        <f t="array" ref="L106">IF(Working!$A106="","",INDEX(Working!$A$2:INDEX(Working!$A:$A, MATCH("zzz", Working!$A:$A)), MOD(ROW()-ROW(L$2)+L$1, COUNTA(Working!$A$2:INDEX(Working!$A:$A, MATCH("zzz", Working!$A:$A)))) + 1))</f>
        <v/>
      </c>
    </row>
    <row r="107" spans="3:12" ht="15.75" customHeight="1" x14ac:dyDescent="0.2">
      <c r="C107" t="str" cm="1">
        <f t="array" ref="C107">IF(Working!$A107="","",INDEX(Working!$A$2:INDEX(Working!$A:$A, MATCH("zzz", Working!$A:$A)), MOD(ROW()-ROW(C$2)+C$1, COUNTA(Working!$A$2:INDEX(Working!$A:$A, MATCH("zzz", Working!$A:$A)))) + 1))</f>
        <v/>
      </c>
      <c r="D107" t="str" cm="1">
        <f t="array" ref="D107">IF(Working!$A107="","",INDEX(Working!$A$2:INDEX(Working!$A:$A, MATCH("zzz", Working!$A:$A)), MOD(ROW()-ROW(D$2)+D$1, COUNTA(Working!$A$2:INDEX(Working!$A:$A, MATCH("zzz", Working!$A:$A)))) + 1))</f>
        <v/>
      </c>
      <c r="E107" t="str" cm="1">
        <f t="array" ref="E107">IF(Working!$A107="","",INDEX(Working!$A$2:INDEX(Working!$A:$A, MATCH("zzz", Working!$A:$A)), MOD(ROW()-ROW(E$2)+E$1, COUNTA(Working!$A$2:INDEX(Working!$A:$A, MATCH("zzz", Working!$A:$A)))) + 1))</f>
        <v/>
      </c>
      <c r="F107" t="str" cm="1">
        <f t="array" ref="F107">IF(Working!$A107="","",INDEX(Working!$A$2:INDEX(Working!$A:$A, MATCH("zzz", Working!$A:$A)), MOD(ROW()-ROW(F$2)+F$1, COUNTA(Working!$A$2:INDEX(Working!$A:$A, MATCH("zzz", Working!$A:$A)))) + 1))</f>
        <v/>
      </c>
      <c r="G107" t="str" cm="1">
        <f t="array" ref="G107">IF(Working!$A107="","",INDEX(Working!$A$2:INDEX(Working!$A:$A, MATCH("zzz", Working!$A:$A)), MOD(ROW()-ROW(G$2)+G$1, COUNTA(Working!$A$2:INDEX(Working!$A:$A, MATCH("zzz", Working!$A:$A)))) + 1))</f>
        <v/>
      </c>
      <c r="H107" t="str" cm="1">
        <f t="array" ref="H107">IF(Working!$A107="","",INDEX(Working!$A$2:INDEX(Working!$A:$A, MATCH("zzz", Working!$A:$A)), MOD(ROW()-ROW(H$2)+H$1, COUNTA(Working!$A$2:INDEX(Working!$A:$A, MATCH("zzz", Working!$A:$A)))) + 1))</f>
        <v/>
      </c>
      <c r="I107" t="str" cm="1">
        <f t="array" ref="I107">IF(Working!$A107="","",INDEX(Working!$A$2:INDEX(Working!$A:$A, MATCH("zzz", Working!$A:$A)), MOD(ROW()-ROW(I$2)+I$1, COUNTA(Working!$A$2:INDEX(Working!$A:$A, MATCH("zzz", Working!$A:$A)))) + 1))</f>
        <v/>
      </c>
      <c r="J107" t="str" cm="1">
        <f t="array" ref="J107">IF(Working!$A107="","",INDEX(Working!$A$2:INDEX(Working!$A:$A, MATCH("zzz", Working!$A:$A)), MOD(ROW()-ROW(J$2)+J$1, COUNTA(Working!$A$2:INDEX(Working!$A:$A, MATCH("zzz", Working!$A:$A)))) + 1))</f>
        <v/>
      </c>
      <c r="K107" t="str" cm="1">
        <f t="array" ref="K107">IF(Working!$A107="","",INDEX(Working!$A$2:INDEX(Working!$A:$A, MATCH("zzz", Working!$A:$A)), MOD(ROW()-ROW(K$2)+K$1, COUNTA(Working!$A$2:INDEX(Working!$A:$A, MATCH("zzz", Working!$A:$A)))) + 1))</f>
        <v/>
      </c>
      <c r="L107" t="str" cm="1">
        <f t="array" ref="L107">IF(Working!$A107="","",INDEX(Working!$A$2:INDEX(Working!$A:$A, MATCH("zzz", Working!$A:$A)), MOD(ROW()-ROW(L$2)+L$1, COUNTA(Working!$A$2:INDEX(Working!$A:$A, MATCH("zzz", Working!$A:$A)))) + 1))</f>
        <v/>
      </c>
    </row>
    <row r="108" spans="3:12" ht="15.75" customHeight="1" x14ac:dyDescent="0.2">
      <c r="C108" t="str" cm="1">
        <f t="array" ref="C108">IF(Working!$A108="","",INDEX(Working!$A$2:INDEX(Working!$A:$A, MATCH("zzz", Working!$A:$A)), MOD(ROW()-ROW(C$2)+C$1, COUNTA(Working!$A$2:INDEX(Working!$A:$A, MATCH("zzz", Working!$A:$A)))) + 1))</f>
        <v/>
      </c>
      <c r="D108" t="str" cm="1">
        <f t="array" ref="D108">IF(Working!$A108="","",INDEX(Working!$A$2:INDEX(Working!$A:$A, MATCH("zzz", Working!$A:$A)), MOD(ROW()-ROW(D$2)+D$1, COUNTA(Working!$A$2:INDEX(Working!$A:$A, MATCH("zzz", Working!$A:$A)))) + 1))</f>
        <v/>
      </c>
      <c r="E108" t="str" cm="1">
        <f t="array" ref="E108">IF(Working!$A108="","",INDEX(Working!$A$2:INDEX(Working!$A:$A, MATCH("zzz", Working!$A:$A)), MOD(ROW()-ROW(E$2)+E$1, COUNTA(Working!$A$2:INDEX(Working!$A:$A, MATCH("zzz", Working!$A:$A)))) + 1))</f>
        <v/>
      </c>
      <c r="F108" t="str" cm="1">
        <f t="array" ref="F108">IF(Working!$A108="","",INDEX(Working!$A$2:INDEX(Working!$A:$A, MATCH("zzz", Working!$A:$A)), MOD(ROW()-ROW(F$2)+F$1, COUNTA(Working!$A$2:INDEX(Working!$A:$A, MATCH("zzz", Working!$A:$A)))) + 1))</f>
        <v/>
      </c>
      <c r="G108" t="str" cm="1">
        <f t="array" ref="G108">IF(Working!$A108="","",INDEX(Working!$A$2:INDEX(Working!$A:$A, MATCH("zzz", Working!$A:$A)), MOD(ROW()-ROW(G$2)+G$1, COUNTA(Working!$A$2:INDEX(Working!$A:$A, MATCH("zzz", Working!$A:$A)))) + 1))</f>
        <v/>
      </c>
      <c r="H108" t="str" cm="1">
        <f t="array" ref="H108">IF(Working!$A108="","",INDEX(Working!$A$2:INDEX(Working!$A:$A, MATCH("zzz", Working!$A:$A)), MOD(ROW()-ROW(H$2)+H$1, COUNTA(Working!$A$2:INDEX(Working!$A:$A, MATCH("zzz", Working!$A:$A)))) + 1))</f>
        <v/>
      </c>
      <c r="I108" t="str" cm="1">
        <f t="array" ref="I108">IF(Working!$A108="","",INDEX(Working!$A$2:INDEX(Working!$A:$A, MATCH("zzz", Working!$A:$A)), MOD(ROW()-ROW(I$2)+I$1, COUNTA(Working!$A$2:INDEX(Working!$A:$A, MATCH("zzz", Working!$A:$A)))) + 1))</f>
        <v/>
      </c>
      <c r="J108" t="str" cm="1">
        <f t="array" ref="J108">IF(Working!$A108="","",INDEX(Working!$A$2:INDEX(Working!$A:$A, MATCH("zzz", Working!$A:$A)), MOD(ROW()-ROW(J$2)+J$1, COUNTA(Working!$A$2:INDEX(Working!$A:$A, MATCH("zzz", Working!$A:$A)))) + 1))</f>
        <v/>
      </c>
      <c r="K108" t="str" cm="1">
        <f t="array" ref="K108">IF(Working!$A108="","",INDEX(Working!$A$2:INDEX(Working!$A:$A, MATCH("zzz", Working!$A:$A)), MOD(ROW()-ROW(K$2)+K$1, COUNTA(Working!$A$2:INDEX(Working!$A:$A, MATCH("zzz", Working!$A:$A)))) + 1))</f>
        <v/>
      </c>
      <c r="L108" t="str" cm="1">
        <f t="array" ref="L108">IF(Working!$A108="","",INDEX(Working!$A$2:INDEX(Working!$A:$A, MATCH("zzz", Working!$A:$A)), MOD(ROW()-ROW(L$2)+L$1, COUNTA(Working!$A$2:INDEX(Working!$A:$A, MATCH("zzz", Working!$A:$A)))) + 1))</f>
        <v/>
      </c>
    </row>
    <row r="109" spans="3:12" ht="15.75" customHeight="1" x14ac:dyDescent="0.2">
      <c r="C109" t="str" cm="1">
        <f t="array" ref="C109">IF(Working!$A109="","",INDEX(Working!$A$2:INDEX(Working!$A:$A, MATCH("zzz", Working!$A:$A)), MOD(ROW()-ROW(C$2)+C$1, COUNTA(Working!$A$2:INDEX(Working!$A:$A, MATCH("zzz", Working!$A:$A)))) + 1))</f>
        <v/>
      </c>
      <c r="D109" t="str" cm="1">
        <f t="array" ref="D109">IF(Working!$A109="","",INDEX(Working!$A$2:INDEX(Working!$A:$A, MATCH("zzz", Working!$A:$A)), MOD(ROW()-ROW(D$2)+D$1, COUNTA(Working!$A$2:INDEX(Working!$A:$A, MATCH("zzz", Working!$A:$A)))) + 1))</f>
        <v/>
      </c>
      <c r="E109" t="str" cm="1">
        <f t="array" ref="E109">IF(Working!$A109="","",INDEX(Working!$A$2:INDEX(Working!$A:$A, MATCH("zzz", Working!$A:$A)), MOD(ROW()-ROW(E$2)+E$1, COUNTA(Working!$A$2:INDEX(Working!$A:$A, MATCH("zzz", Working!$A:$A)))) + 1))</f>
        <v/>
      </c>
      <c r="F109" t="str" cm="1">
        <f t="array" ref="F109">IF(Working!$A109="","",INDEX(Working!$A$2:INDEX(Working!$A:$A, MATCH("zzz", Working!$A:$A)), MOD(ROW()-ROW(F$2)+F$1, COUNTA(Working!$A$2:INDEX(Working!$A:$A, MATCH("zzz", Working!$A:$A)))) + 1))</f>
        <v/>
      </c>
      <c r="G109" t="str" cm="1">
        <f t="array" ref="G109">IF(Working!$A109="","",INDEX(Working!$A$2:INDEX(Working!$A:$A, MATCH("zzz", Working!$A:$A)), MOD(ROW()-ROW(G$2)+G$1, COUNTA(Working!$A$2:INDEX(Working!$A:$A, MATCH("zzz", Working!$A:$A)))) + 1))</f>
        <v/>
      </c>
      <c r="H109" t="str" cm="1">
        <f t="array" ref="H109">IF(Working!$A109="","",INDEX(Working!$A$2:INDEX(Working!$A:$A, MATCH("zzz", Working!$A:$A)), MOD(ROW()-ROW(H$2)+H$1, COUNTA(Working!$A$2:INDEX(Working!$A:$A, MATCH("zzz", Working!$A:$A)))) + 1))</f>
        <v/>
      </c>
      <c r="I109" t="str" cm="1">
        <f t="array" ref="I109">IF(Working!$A109="","",INDEX(Working!$A$2:INDEX(Working!$A:$A, MATCH("zzz", Working!$A:$A)), MOD(ROW()-ROW(I$2)+I$1, COUNTA(Working!$A$2:INDEX(Working!$A:$A, MATCH("zzz", Working!$A:$A)))) + 1))</f>
        <v/>
      </c>
      <c r="J109" t="str" cm="1">
        <f t="array" ref="J109">IF(Working!$A109="","",INDEX(Working!$A$2:INDEX(Working!$A:$A, MATCH("zzz", Working!$A:$A)), MOD(ROW()-ROW(J$2)+J$1, COUNTA(Working!$A$2:INDEX(Working!$A:$A, MATCH("zzz", Working!$A:$A)))) + 1))</f>
        <v/>
      </c>
      <c r="K109" t="str" cm="1">
        <f t="array" ref="K109">IF(Working!$A109="","",INDEX(Working!$A$2:INDEX(Working!$A:$A, MATCH("zzz", Working!$A:$A)), MOD(ROW()-ROW(K$2)+K$1, COUNTA(Working!$A$2:INDEX(Working!$A:$A, MATCH("zzz", Working!$A:$A)))) + 1))</f>
        <v/>
      </c>
      <c r="L109" t="str" cm="1">
        <f t="array" ref="L109">IF(Working!$A109="","",INDEX(Working!$A$2:INDEX(Working!$A:$A, MATCH("zzz", Working!$A:$A)), MOD(ROW()-ROW(L$2)+L$1, COUNTA(Working!$A$2:INDEX(Working!$A:$A, MATCH("zzz", Working!$A:$A)))) + 1))</f>
        <v/>
      </c>
    </row>
    <row r="110" spans="3:12" ht="15.75" customHeight="1" x14ac:dyDescent="0.2">
      <c r="C110" t="str" cm="1">
        <f t="array" ref="C110">IF(Working!$A110="","",INDEX(Working!$A$2:INDEX(Working!$A:$A, MATCH("zzz", Working!$A:$A)), MOD(ROW()-ROW(C$2)+C$1, COUNTA(Working!$A$2:INDEX(Working!$A:$A, MATCH("zzz", Working!$A:$A)))) + 1))</f>
        <v/>
      </c>
      <c r="D110" t="str" cm="1">
        <f t="array" ref="D110">IF(Working!$A110="","",INDEX(Working!$A$2:INDEX(Working!$A:$A, MATCH("zzz", Working!$A:$A)), MOD(ROW()-ROW(D$2)+D$1, COUNTA(Working!$A$2:INDEX(Working!$A:$A, MATCH("zzz", Working!$A:$A)))) + 1))</f>
        <v/>
      </c>
      <c r="E110" t="str" cm="1">
        <f t="array" ref="E110">IF(Working!$A110="","",INDEX(Working!$A$2:INDEX(Working!$A:$A, MATCH("zzz", Working!$A:$A)), MOD(ROW()-ROW(E$2)+E$1, COUNTA(Working!$A$2:INDEX(Working!$A:$A, MATCH("zzz", Working!$A:$A)))) + 1))</f>
        <v/>
      </c>
      <c r="F110" t="str" cm="1">
        <f t="array" ref="F110">IF(Working!$A110="","",INDEX(Working!$A$2:INDEX(Working!$A:$A, MATCH("zzz", Working!$A:$A)), MOD(ROW()-ROW(F$2)+F$1, COUNTA(Working!$A$2:INDEX(Working!$A:$A, MATCH("zzz", Working!$A:$A)))) + 1))</f>
        <v/>
      </c>
      <c r="G110" t="str" cm="1">
        <f t="array" ref="G110">IF(Working!$A110="","",INDEX(Working!$A$2:INDEX(Working!$A:$A, MATCH("zzz", Working!$A:$A)), MOD(ROW()-ROW(G$2)+G$1, COUNTA(Working!$A$2:INDEX(Working!$A:$A, MATCH("zzz", Working!$A:$A)))) + 1))</f>
        <v/>
      </c>
      <c r="H110" t="str" cm="1">
        <f t="array" ref="H110">IF(Working!$A110="","",INDEX(Working!$A$2:INDEX(Working!$A:$A, MATCH("zzz", Working!$A:$A)), MOD(ROW()-ROW(H$2)+H$1, COUNTA(Working!$A$2:INDEX(Working!$A:$A, MATCH("zzz", Working!$A:$A)))) + 1))</f>
        <v/>
      </c>
      <c r="I110" t="str" cm="1">
        <f t="array" ref="I110">IF(Working!$A110="","",INDEX(Working!$A$2:INDEX(Working!$A:$A, MATCH("zzz", Working!$A:$A)), MOD(ROW()-ROW(I$2)+I$1, COUNTA(Working!$A$2:INDEX(Working!$A:$A, MATCH("zzz", Working!$A:$A)))) + 1))</f>
        <v/>
      </c>
      <c r="J110" t="str" cm="1">
        <f t="array" ref="J110">IF(Working!$A110="","",INDEX(Working!$A$2:INDEX(Working!$A:$A, MATCH("zzz", Working!$A:$A)), MOD(ROW()-ROW(J$2)+J$1, COUNTA(Working!$A$2:INDEX(Working!$A:$A, MATCH("zzz", Working!$A:$A)))) + 1))</f>
        <v/>
      </c>
      <c r="K110" t="str" cm="1">
        <f t="array" ref="K110">IF(Working!$A110="","",INDEX(Working!$A$2:INDEX(Working!$A:$A, MATCH("zzz", Working!$A:$A)), MOD(ROW()-ROW(K$2)+K$1, COUNTA(Working!$A$2:INDEX(Working!$A:$A, MATCH("zzz", Working!$A:$A)))) + 1))</f>
        <v/>
      </c>
      <c r="L110" t="str" cm="1">
        <f t="array" ref="L110">IF(Working!$A110="","",INDEX(Working!$A$2:INDEX(Working!$A:$A, MATCH("zzz", Working!$A:$A)), MOD(ROW()-ROW(L$2)+L$1, COUNTA(Working!$A$2:INDEX(Working!$A:$A, MATCH("zzz", Working!$A:$A)))) + 1))</f>
        <v/>
      </c>
    </row>
    <row r="111" spans="3:12" ht="15.75" customHeight="1" x14ac:dyDescent="0.2">
      <c r="C111" t="str" cm="1">
        <f t="array" ref="C111">IF(Working!$A111="","",INDEX(Working!$A$2:INDEX(Working!$A:$A, MATCH("zzz", Working!$A:$A)), MOD(ROW()-ROW(C$2)+C$1, COUNTA(Working!$A$2:INDEX(Working!$A:$A, MATCH("zzz", Working!$A:$A)))) + 1))</f>
        <v/>
      </c>
      <c r="D111" t="str" cm="1">
        <f t="array" ref="D111">IF(Working!$A111="","",INDEX(Working!$A$2:INDEX(Working!$A:$A, MATCH("zzz", Working!$A:$A)), MOD(ROW()-ROW(D$2)+D$1, COUNTA(Working!$A$2:INDEX(Working!$A:$A, MATCH("zzz", Working!$A:$A)))) + 1))</f>
        <v/>
      </c>
      <c r="E111" t="str" cm="1">
        <f t="array" ref="E111">IF(Working!$A111="","",INDEX(Working!$A$2:INDEX(Working!$A:$A, MATCH("zzz", Working!$A:$A)), MOD(ROW()-ROW(E$2)+E$1, COUNTA(Working!$A$2:INDEX(Working!$A:$A, MATCH("zzz", Working!$A:$A)))) + 1))</f>
        <v/>
      </c>
      <c r="F111" t="str" cm="1">
        <f t="array" ref="F111">IF(Working!$A111="","",INDEX(Working!$A$2:INDEX(Working!$A:$A, MATCH("zzz", Working!$A:$A)), MOD(ROW()-ROW(F$2)+F$1, COUNTA(Working!$A$2:INDEX(Working!$A:$A, MATCH("zzz", Working!$A:$A)))) + 1))</f>
        <v/>
      </c>
      <c r="G111" t="str" cm="1">
        <f t="array" ref="G111">IF(Working!$A111="","",INDEX(Working!$A$2:INDEX(Working!$A:$A, MATCH("zzz", Working!$A:$A)), MOD(ROW()-ROW(G$2)+G$1, COUNTA(Working!$A$2:INDEX(Working!$A:$A, MATCH("zzz", Working!$A:$A)))) + 1))</f>
        <v/>
      </c>
      <c r="H111" t="str" cm="1">
        <f t="array" ref="H111">IF(Working!$A111="","",INDEX(Working!$A$2:INDEX(Working!$A:$A, MATCH("zzz", Working!$A:$A)), MOD(ROW()-ROW(H$2)+H$1, COUNTA(Working!$A$2:INDEX(Working!$A:$A, MATCH("zzz", Working!$A:$A)))) + 1))</f>
        <v/>
      </c>
      <c r="I111" t="str" cm="1">
        <f t="array" ref="I111">IF(Working!$A111="","",INDEX(Working!$A$2:INDEX(Working!$A:$A, MATCH("zzz", Working!$A:$A)), MOD(ROW()-ROW(I$2)+I$1, COUNTA(Working!$A$2:INDEX(Working!$A:$A, MATCH("zzz", Working!$A:$A)))) + 1))</f>
        <v/>
      </c>
      <c r="J111" t="str" cm="1">
        <f t="array" ref="J111">IF(Working!$A111="","",INDEX(Working!$A$2:INDEX(Working!$A:$A, MATCH("zzz", Working!$A:$A)), MOD(ROW()-ROW(J$2)+J$1, COUNTA(Working!$A$2:INDEX(Working!$A:$A, MATCH("zzz", Working!$A:$A)))) + 1))</f>
        <v/>
      </c>
      <c r="K111" t="str" cm="1">
        <f t="array" ref="K111">IF(Working!$A111="","",INDEX(Working!$A$2:INDEX(Working!$A:$A, MATCH("zzz", Working!$A:$A)), MOD(ROW()-ROW(K$2)+K$1, COUNTA(Working!$A$2:INDEX(Working!$A:$A, MATCH("zzz", Working!$A:$A)))) + 1))</f>
        <v/>
      </c>
      <c r="L111" t="str" cm="1">
        <f t="array" ref="L111">IF(Working!$A111="","",INDEX(Working!$A$2:INDEX(Working!$A:$A, MATCH("zzz", Working!$A:$A)), MOD(ROW()-ROW(L$2)+L$1, COUNTA(Working!$A$2:INDEX(Working!$A:$A, MATCH("zzz", Working!$A:$A)))) + 1))</f>
        <v/>
      </c>
    </row>
    <row r="112" spans="3:12" ht="15.75" customHeight="1" x14ac:dyDescent="0.2">
      <c r="C112" t="str" cm="1">
        <f t="array" ref="C112">IF(Working!$A112="","",INDEX(Working!$A$2:INDEX(Working!$A:$A, MATCH("zzz", Working!$A:$A)), MOD(ROW()-ROW(C$2)+C$1, COUNTA(Working!$A$2:INDEX(Working!$A:$A, MATCH("zzz", Working!$A:$A)))) + 1))</f>
        <v/>
      </c>
      <c r="D112" t="str" cm="1">
        <f t="array" ref="D112">IF(Working!$A112="","",INDEX(Working!$A$2:INDEX(Working!$A:$A, MATCH("zzz", Working!$A:$A)), MOD(ROW()-ROW(D$2)+D$1, COUNTA(Working!$A$2:INDEX(Working!$A:$A, MATCH("zzz", Working!$A:$A)))) + 1))</f>
        <v/>
      </c>
      <c r="E112" t="str" cm="1">
        <f t="array" ref="E112">IF(Working!$A112="","",INDEX(Working!$A$2:INDEX(Working!$A:$A, MATCH("zzz", Working!$A:$A)), MOD(ROW()-ROW(E$2)+E$1, COUNTA(Working!$A$2:INDEX(Working!$A:$A, MATCH("zzz", Working!$A:$A)))) + 1))</f>
        <v/>
      </c>
      <c r="F112" t="str" cm="1">
        <f t="array" ref="F112">IF(Working!$A112="","",INDEX(Working!$A$2:INDEX(Working!$A:$A, MATCH("zzz", Working!$A:$A)), MOD(ROW()-ROW(F$2)+F$1, COUNTA(Working!$A$2:INDEX(Working!$A:$A, MATCH("zzz", Working!$A:$A)))) + 1))</f>
        <v/>
      </c>
      <c r="G112" t="str" cm="1">
        <f t="array" ref="G112">IF(Working!$A112="","",INDEX(Working!$A$2:INDEX(Working!$A:$A, MATCH("zzz", Working!$A:$A)), MOD(ROW()-ROW(G$2)+G$1, COUNTA(Working!$A$2:INDEX(Working!$A:$A, MATCH("zzz", Working!$A:$A)))) + 1))</f>
        <v/>
      </c>
      <c r="H112" t="str" cm="1">
        <f t="array" ref="H112">IF(Working!$A112="","",INDEX(Working!$A$2:INDEX(Working!$A:$A, MATCH("zzz", Working!$A:$A)), MOD(ROW()-ROW(H$2)+H$1, COUNTA(Working!$A$2:INDEX(Working!$A:$A, MATCH("zzz", Working!$A:$A)))) + 1))</f>
        <v/>
      </c>
      <c r="I112" t="str" cm="1">
        <f t="array" ref="I112">IF(Working!$A112="","",INDEX(Working!$A$2:INDEX(Working!$A:$A, MATCH("zzz", Working!$A:$A)), MOD(ROW()-ROW(I$2)+I$1, COUNTA(Working!$A$2:INDEX(Working!$A:$A, MATCH("zzz", Working!$A:$A)))) + 1))</f>
        <v/>
      </c>
      <c r="J112" t="str" cm="1">
        <f t="array" ref="J112">IF(Working!$A112="","",INDEX(Working!$A$2:INDEX(Working!$A:$A, MATCH("zzz", Working!$A:$A)), MOD(ROW()-ROW(J$2)+J$1, COUNTA(Working!$A$2:INDEX(Working!$A:$A, MATCH("zzz", Working!$A:$A)))) + 1))</f>
        <v/>
      </c>
      <c r="K112" t="str" cm="1">
        <f t="array" ref="K112">IF(Working!$A112="","",INDEX(Working!$A$2:INDEX(Working!$A:$A, MATCH("zzz", Working!$A:$A)), MOD(ROW()-ROW(K$2)+K$1, COUNTA(Working!$A$2:INDEX(Working!$A:$A, MATCH("zzz", Working!$A:$A)))) + 1))</f>
        <v/>
      </c>
      <c r="L112" t="str" cm="1">
        <f t="array" ref="L112">IF(Working!$A112="","",INDEX(Working!$A$2:INDEX(Working!$A:$A, MATCH("zzz", Working!$A:$A)), MOD(ROW()-ROW(L$2)+L$1, COUNTA(Working!$A$2:INDEX(Working!$A:$A, MATCH("zzz", Working!$A:$A)))) + 1))</f>
        <v/>
      </c>
    </row>
    <row r="113" spans="3:12" ht="15.75" customHeight="1" x14ac:dyDescent="0.2">
      <c r="C113" t="str" cm="1">
        <f t="array" ref="C113">IF(Working!$A113="","",INDEX(Working!$A$2:INDEX(Working!$A:$A, MATCH("zzz", Working!$A:$A)), MOD(ROW()-ROW(C$2)+C$1, COUNTA(Working!$A$2:INDEX(Working!$A:$A, MATCH("zzz", Working!$A:$A)))) + 1))</f>
        <v/>
      </c>
      <c r="D113" t="str" cm="1">
        <f t="array" ref="D113">IF(Working!$A113="","",INDEX(Working!$A$2:INDEX(Working!$A:$A, MATCH("zzz", Working!$A:$A)), MOD(ROW()-ROW(D$2)+D$1, COUNTA(Working!$A$2:INDEX(Working!$A:$A, MATCH("zzz", Working!$A:$A)))) + 1))</f>
        <v/>
      </c>
      <c r="E113" t="str" cm="1">
        <f t="array" ref="E113">IF(Working!$A113="","",INDEX(Working!$A$2:INDEX(Working!$A:$A, MATCH("zzz", Working!$A:$A)), MOD(ROW()-ROW(E$2)+E$1, COUNTA(Working!$A$2:INDEX(Working!$A:$A, MATCH("zzz", Working!$A:$A)))) + 1))</f>
        <v/>
      </c>
      <c r="F113" t="str" cm="1">
        <f t="array" ref="F113">IF(Working!$A113="","",INDEX(Working!$A$2:INDEX(Working!$A:$A, MATCH("zzz", Working!$A:$A)), MOD(ROW()-ROW(F$2)+F$1, COUNTA(Working!$A$2:INDEX(Working!$A:$A, MATCH("zzz", Working!$A:$A)))) + 1))</f>
        <v/>
      </c>
      <c r="G113" t="str" cm="1">
        <f t="array" ref="G113">IF(Working!$A113="","",INDEX(Working!$A$2:INDEX(Working!$A:$A, MATCH("zzz", Working!$A:$A)), MOD(ROW()-ROW(G$2)+G$1, COUNTA(Working!$A$2:INDEX(Working!$A:$A, MATCH("zzz", Working!$A:$A)))) + 1))</f>
        <v/>
      </c>
      <c r="H113" t="str" cm="1">
        <f t="array" ref="H113">IF(Working!$A113="","",INDEX(Working!$A$2:INDEX(Working!$A:$A, MATCH("zzz", Working!$A:$A)), MOD(ROW()-ROW(H$2)+H$1, COUNTA(Working!$A$2:INDEX(Working!$A:$A, MATCH("zzz", Working!$A:$A)))) + 1))</f>
        <v/>
      </c>
      <c r="I113" t="str" cm="1">
        <f t="array" ref="I113">IF(Working!$A113="","",INDEX(Working!$A$2:INDEX(Working!$A:$A, MATCH("zzz", Working!$A:$A)), MOD(ROW()-ROW(I$2)+I$1, COUNTA(Working!$A$2:INDEX(Working!$A:$A, MATCH("zzz", Working!$A:$A)))) + 1))</f>
        <v/>
      </c>
      <c r="J113" t="str" cm="1">
        <f t="array" ref="J113">IF(Working!$A113="","",INDEX(Working!$A$2:INDEX(Working!$A:$A, MATCH("zzz", Working!$A:$A)), MOD(ROW()-ROW(J$2)+J$1, COUNTA(Working!$A$2:INDEX(Working!$A:$A, MATCH("zzz", Working!$A:$A)))) + 1))</f>
        <v/>
      </c>
      <c r="K113" t="str" cm="1">
        <f t="array" ref="K113">IF(Working!$A113="","",INDEX(Working!$A$2:INDEX(Working!$A:$A, MATCH("zzz", Working!$A:$A)), MOD(ROW()-ROW(K$2)+K$1, COUNTA(Working!$A$2:INDEX(Working!$A:$A, MATCH("zzz", Working!$A:$A)))) + 1))</f>
        <v/>
      </c>
      <c r="L113" t="str" cm="1">
        <f t="array" ref="L113">IF(Working!$A113="","",INDEX(Working!$A$2:INDEX(Working!$A:$A, MATCH("zzz", Working!$A:$A)), MOD(ROW()-ROW(L$2)+L$1, COUNTA(Working!$A$2:INDEX(Working!$A:$A, MATCH("zzz", Working!$A:$A)))) + 1))</f>
        <v/>
      </c>
    </row>
    <row r="114" spans="3:12" ht="15.75" customHeight="1" x14ac:dyDescent="0.2">
      <c r="C114" t="str" cm="1">
        <f t="array" ref="C114">IF(Working!$A114="","",INDEX(Working!$A$2:INDEX(Working!$A:$A, MATCH("zzz", Working!$A:$A)), MOD(ROW()-ROW(C$2)+C$1, COUNTA(Working!$A$2:INDEX(Working!$A:$A, MATCH("zzz", Working!$A:$A)))) + 1))</f>
        <v/>
      </c>
      <c r="D114" t="str" cm="1">
        <f t="array" ref="D114">IF(Working!$A114="","",INDEX(Working!$A$2:INDEX(Working!$A:$A, MATCH("zzz", Working!$A:$A)), MOD(ROW()-ROW(D$2)+D$1, COUNTA(Working!$A$2:INDEX(Working!$A:$A, MATCH("zzz", Working!$A:$A)))) + 1))</f>
        <v/>
      </c>
      <c r="E114" t="str" cm="1">
        <f t="array" ref="E114">IF(Working!$A114="","",INDEX(Working!$A$2:INDEX(Working!$A:$A, MATCH("zzz", Working!$A:$A)), MOD(ROW()-ROW(E$2)+E$1, COUNTA(Working!$A$2:INDEX(Working!$A:$A, MATCH("zzz", Working!$A:$A)))) + 1))</f>
        <v/>
      </c>
      <c r="F114" t="str" cm="1">
        <f t="array" ref="F114">IF(Working!$A114="","",INDEX(Working!$A$2:INDEX(Working!$A:$A, MATCH("zzz", Working!$A:$A)), MOD(ROW()-ROW(F$2)+F$1, COUNTA(Working!$A$2:INDEX(Working!$A:$A, MATCH("zzz", Working!$A:$A)))) + 1))</f>
        <v/>
      </c>
      <c r="G114" t="str" cm="1">
        <f t="array" ref="G114">IF(Working!$A114="","",INDEX(Working!$A$2:INDEX(Working!$A:$A, MATCH("zzz", Working!$A:$A)), MOD(ROW()-ROW(G$2)+G$1, COUNTA(Working!$A$2:INDEX(Working!$A:$A, MATCH("zzz", Working!$A:$A)))) + 1))</f>
        <v/>
      </c>
      <c r="H114" t="str" cm="1">
        <f t="array" ref="H114">IF(Working!$A114="","",INDEX(Working!$A$2:INDEX(Working!$A:$A, MATCH("zzz", Working!$A:$A)), MOD(ROW()-ROW(H$2)+H$1, COUNTA(Working!$A$2:INDEX(Working!$A:$A, MATCH("zzz", Working!$A:$A)))) + 1))</f>
        <v/>
      </c>
      <c r="I114" t="str" cm="1">
        <f t="array" ref="I114">IF(Working!$A114="","",INDEX(Working!$A$2:INDEX(Working!$A:$A, MATCH("zzz", Working!$A:$A)), MOD(ROW()-ROW(I$2)+I$1, COUNTA(Working!$A$2:INDEX(Working!$A:$A, MATCH("zzz", Working!$A:$A)))) + 1))</f>
        <v/>
      </c>
      <c r="J114" t="str" cm="1">
        <f t="array" ref="J114">IF(Working!$A114="","",INDEX(Working!$A$2:INDEX(Working!$A:$A, MATCH("zzz", Working!$A:$A)), MOD(ROW()-ROW(J$2)+J$1, COUNTA(Working!$A$2:INDEX(Working!$A:$A, MATCH("zzz", Working!$A:$A)))) + 1))</f>
        <v/>
      </c>
      <c r="K114" t="str" cm="1">
        <f t="array" ref="K114">IF(Working!$A114="","",INDEX(Working!$A$2:INDEX(Working!$A:$A, MATCH("zzz", Working!$A:$A)), MOD(ROW()-ROW(K$2)+K$1, COUNTA(Working!$A$2:INDEX(Working!$A:$A, MATCH("zzz", Working!$A:$A)))) + 1))</f>
        <v/>
      </c>
      <c r="L114" t="str" cm="1">
        <f t="array" ref="L114">IF(Working!$A114="","",INDEX(Working!$A$2:INDEX(Working!$A:$A, MATCH("zzz", Working!$A:$A)), MOD(ROW()-ROW(L$2)+L$1, COUNTA(Working!$A$2:INDEX(Working!$A:$A, MATCH("zzz", Working!$A:$A)))) + 1))</f>
        <v/>
      </c>
    </row>
    <row r="115" spans="3:12" ht="15.75" customHeight="1" x14ac:dyDescent="0.2">
      <c r="C115" t="str" cm="1">
        <f t="array" ref="C115">IF(Working!$A115="","",INDEX(Working!$A$2:INDEX(Working!$A:$A, MATCH("zzz", Working!$A:$A)), MOD(ROW()-ROW(C$2)+C$1, COUNTA(Working!$A$2:INDEX(Working!$A:$A, MATCH("zzz", Working!$A:$A)))) + 1))</f>
        <v/>
      </c>
      <c r="D115" t="str" cm="1">
        <f t="array" ref="D115">IF(Working!$A115="","",INDEX(Working!$A$2:INDEX(Working!$A:$A, MATCH("zzz", Working!$A:$A)), MOD(ROW()-ROW(D$2)+D$1, COUNTA(Working!$A$2:INDEX(Working!$A:$A, MATCH("zzz", Working!$A:$A)))) + 1))</f>
        <v/>
      </c>
      <c r="E115" t="str" cm="1">
        <f t="array" ref="E115">IF(Working!$A115="","",INDEX(Working!$A$2:INDEX(Working!$A:$A, MATCH("zzz", Working!$A:$A)), MOD(ROW()-ROW(E$2)+E$1, COUNTA(Working!$A$2:INDEX(Working!$A:$A, MATCH("zzz", Working!$A:$A)))) + 1))</f>
        <v/>
      </c>
      <c r="F115" t="str" cm="1">
        <f t="array" ref="F115">IF(Working!$A115="","",INDEX(Working!$A$2:INDEX(Working!$A:$A, MATCH("zzz", Working!$A:$A)), MOD(ROW()-ROW(F$2)+F$1, COUNTA(Working!$A$2:INDEX(Working!$A:$A, MATCH("zzz", Working!$A:$A)))) + 1))</f>
        <v/>
      </c>
      <c r="G115" t="str" cm="1">
        <f t="array" ref="G115">IF(Working!$A115="","",INDEX(Working!$A$2:INDEX(Working!$A:$A, MATCH("zzz", Working!$A:$A)), MOD(ROW()-ROW(G$2)+G$1, COUNTA(Working!$A$2:INDEX(Working!$A:$A, MATCH("zzz", Working!$A:$A)))) + 1))</f>
        <v/>
      </c>
      <c r="H115" t="str" cm="1">
        <f t="array" ref="H115">IF(Working!$A115="","",INDEX(Working!$A$2:INDEX(Working!$A:$A, MATCH("zzz", Working!$A:$A)), MOD(ROW()-ROW(H$2)+H$1, COUNTA(Working!$A$2:INDEX(Working!$A:$A, MATCH("zzz", Working!$A:$A)))) + 1))</f>
        <v/>
      </c>
      <c r="I115" t="str" cm="1">
        <f t="array" ref="I115">IF(Working!$A115="","",INDEX(Working!$A$2:INDEX(Working!$A:$A, MATCH("zzz", Working!$A:$A)), MOD(ROW()-ROW(I$2)+I$1, COUNTA(Working!$A$2:INDEX(Working!$A:$A, MATCH("zzz", Working!$A:$A)))) + 1))</f>
        <v/>
      </c>
      <c r="J115" t="str" cm="1">
        <f t="array" ref="J115">IF(Working!$A115="","",INDEX(Working!$A$2:INDEX(Working!$A:$A, MATCH("zzz", Working!$A:$A)), MOD(ROW()-ROW(J$2)+J$1, COUNTA(Working!$A$2:INDEX(Working!$A:$A, MATCH("zzz", Working!$A:$A)))) + 1))</f>
        <v/>
      </c>
      <c r="K115" t="str" cm="1">
        <f t="array" ref="K115">IF(Working!$A115="","",INDEX(Working!$A$2:INDEX(Working!$A:$A, MATCH("zzz", Working!$A:$A)), MOD(ROW()-ROW(K$2)+K$1, COUNTA(Working!$A$2:INDEX(Working!$A:$A, MATCH("zzz", Working!$A:$A)))) + 1))</f>
        <v/>
      </c>
      <c r="L115" t="str" cm="1">
        <f t="array" ref="L115">IF(Working!$A115="","",INDEX(Working!$A$2:INDEX(Working!$A:$A, MATCH("zzz", Working!$A:$A)), MOD(ROW()-ROW(L$2)+L$1, COUNTA(Working!$A$2:INDEX(Working!$A:$A, MATCH("zzz", Working!$A:$A)))) + 1))</f>
        <v/>
      </c>
    </row>
    <row r="116" spans="3:12" ht="15.75" customHeight="1" x14ac:dyDescent="0.2">
      <c r="C116" t="str" cm="1">
        <f t="array" ref="C116">IF(Working!$A116="","",INDEX(Working!$A$2:INDEX(Working!$A:$A, MATCH("zzz", Working!$A:$A)), MOD(ROW()-ROW(C$2)+C$1, COUNTA(Working!$A$2:INDEX(Working!$A:$A, MATCH("zzz", Working!$A:$A)))) + 1))</f>
        <v/>
      </c>
      <c r="D116" t="str" cm="1">
        <f t="array" ref="D116">IF(Working!$A116="","",INDEX(Working!$A$2:INDEX(Working!$A:$A, MATCH("zzz", Working!$A:$A)), MOD(ROW()-ROW(D$2)+D$1, COUNTA(Working!$A$2:INDEX(Working!$A:$A, MATCH("zzz", Working!$A:$A)))) + 1))</f>
        <v/>
      </c>
      <c r="E116" t="str" cm="1">
        <f t="array" ref="E116">IF(Working!$A116="","",INDEX(Working!$A$2:INDEX(Working!$A:$A, MATCH("zzz", Working!$A:$A)), MOD(ROW()-ROW(E$2)+E$1, COUNTA(Working!$A$2:INDEX(Working!$A:$A, MATCH("zzz", Working!$A:$A)))) + 1))</f>
        <v/>
      </c>
      <c r="F116" t="str" cm="1">
        <f t="array" ref="F116">IF(Working!$A116="","",INDEX(Working!$A$2:INDEX(Working!$A:$A, MATCH("zzz", Working!$A:$A)), MOD(ROW()-ROW(F$2)+F$1, COUNTA(Working!$A$2:INDEX(Working!$A:$A, MATCH("zzz", Working!$A:$A)))) + 1))</f>
        <v/>
      </c>
      <c r="G116" t="str" cm="1">
        <f t="array" ref="G116">IF(Working!$A116="","",INDEX(Working!$A$2:INDEX(Working!$A:$A, MATCH("zzz", Working!$A:$A)), MOD(ROW()-ROW(G$2)+G$1, COUNTA(Working!$A$2:INDEX(Working!$A:$A, MATCH("zzz", Working!$A:$A)))) + 1))</f>
        <v/>
      </c>
      <c r="H116" t="str" cm="1">
        <f t="array" ref="H116">IF(Working!$A116="","",INDEX(Working!$A$2:INDEX(Working!$A:$A, MATCH("zzz", Working!$A:$A)), MOD(ROW()-ROW(H$2)+H$1, COUNTA(Working!$A$2:INDEX(Working!$A:$A, MATCH("zzz", Working!$A:$A)))) + 1))</f>
        <v/>
      </c>
      <c r="I116" t="str" cm="1">
        <f t="array" ref="I116">IF(Working!$A116="","",INDEX(Working!$A$2:INDEX(Working!$A:$A, MATCH("zzz", Working!$A:$A)), MOD(ROW()-ROW(I$2)+I$1, COUNTA(Working!$A$2:INDEX(Working!$A:$A, MATCH("zzz", Working!$A:$A)))) + 1))</f>
        <v/>
      </c>
      <c r="J116" t="str" cm="1">
        <f t="array" ref="J116">IF(Working!$A116="","",INDEX(Working!$A$2:INDEX(Working!$A:$A, MATCH("zzz", Working!$A:$A)), MOD(ROW()-ROW(J$2)+J$1, COUNTA(Working!$A$2:INDEX(Working!$A:$A, MATCH("zzz", Working!$A:$A)))) + 1))</f>
        <v/>
      </c>
      <c r="K116" t="str" cm="1">
        <f t="array" ref="K116">IF(Working!$A116="","",INDEX(Working!$A$2:INDEX(Working!$A:$A, MATCH("zzz", Working!$A:$A)), MOD(ROW()-ROW(K$2)+K$1, COUNTA(Working!$A$2:INDEX(Working!$A:$A, MATCH("zzz", Working!$A:$A)))) + 1))</f>
        <v/>
      </c>
      <c r="L116" t="str" cm="1">
        <f t="array" ref="L116">IF(Working!$A116="","",INDEX(Working!$A$2:INDEX(Working!$A:$A, MATCH("zzz", Working!$A:$A)), MOD(ROW()-ROW(L$2)+L$1, COUNTA(Working!$A$2:INDEX(Working!$A:$A, MATCH("zzz", Working!$A:$A)))) + 1))</f>
        <v/>
      </c>
    </row>
    <row r="117" spans="3:12" ht="15.75" customHeight="1" x14ac:dyDescent="0.2">
      <c r="C117" t="str" cm="1">
        <f t="array" ref="C117">IF(Working!$A117="","",INDEX(Working!$A$2:INDEX(Working!$A:$A, MATCH("zzz", Working!$A:$A)), MOD(ROW()-ROW(C$2)+C$1, COUNTA(Working!$A$2:INDEX(Working!$A:$A, MATCH("zzz", Working!$A:$A)))) + 1))</f>
        <v/>
      </c>
      <c r="D117" t="str" cm="1">
        <f t="array" ref="D117">IF(Working!$A117="","",INDEX(Working!$A$2:INDEX(Working!$A:$A, MATCH("zzz", Working!$A:$A)), MOD(ROW()-ROW(D$2)+D$1, COUNTA(Working!$A$2:INDEX(Working!$A:$A, MATCH("zzz", Working!$A:$A)))) + 1))</f>
        <v/>
      </c>
      <c r="E117" t="str" cm="1">
        <f t="array" ref="E117">IF(Working!$A117="","",INDEX(Working!$A$2:INDEX(Working!$A:$A, MATCH("zzz", Working!$A:$A)), MOD(ROW()-ROW(E$2)+E$1, COUNTA(Working!$A$2:INDEX(Working!$A:$A, MATCH("zzz", Working!$A:$A)))) + 1))</f>
        <v/>
      </c>
      <c r="F117" t="str" cm="1">
        <f t="array" ref="F117">IF(Working!$A117="","",INDEX(Working!$A$2:INDEX(Working!$A:$A, MATCH("zzz", Working!$A:$A)), MOD(ROW()-ROW(F$2)+F$1, COUNTA(Working!$A$2:INDEX(Working!$A:$A, MATCH("zzz", Working!$A:$A)))) + 1))</f>
        <v/>
      </c>
      <c r="G117" t="str" cm="1">
        <f t="array" ref="G117">IF(Working!$A117="","",INDEX(Working!$A$2:INDEX(Working!$A:$A, MATCH("zzz", Working!$A:$A)), MOD(ROW()-ROW(G$2)+G$1, COUNTA(Working!$A$2:INDEX(Working!$A:$A, MATCH("zzz", Working!$A:$A)))) + 1))</f>
        <v/>
      </c>
      <c r="H117" t="str" cm="1">
        <f t="array" ref="H117">IF(Working!$A117="","",INDEX(Working!$A$2:INDEX(Working!$A:$A, MATCH("zzz", Working!$A:$A)), MOD(ROW()-ROW(H$2)+H$1, COUNTA(Working!$A$2:INDEX(Working!$A:$A, MATCH("zzz", Working!$A:$A)))) + 1))</f>
        <v/>
      </c>
      <c r="I117" t="str" cm="1">
        <f t="array" ref="I117">IF(Working!$A117="","",INDEX(Working!$A$2:INDEX(Working!$A:$A, MATCH("zzz", Working!$A:$A)), MOD(ROW()-ROW(I$2)+I$1, COUNTA(Working!$A$2:INDEX(Working!$A:$A, MATCH("zzz", Working!$A:$A)))) + 1))</f>
        <v/>
      </c>
      <c r="J117" t="str" cm="1">
        <f t="array" ref="J117">IF(Working!$A117="","",INDEX(Working!$A$2:INDEX(Working!$A:$A, MATCH("zzz", Working!$A:$A)), MOD(ROW()-ROW(J$2)+J$1, COUNTA(Working!$A$2:INDEX(Working!$A:$A, MATCH("zzz", Working!$A:$A)))) + 1))</f>
        <v/>
      </c>
      <c r="K117" t="str" cm="1">
        <f t="array" ref="K117">IF(Working!$A117="","",INDEX(Working!$A$2:INDEX(Working!$A:$A, MATCH("zzz", Working!$A:$A)), MOD(ROW()-ROW(K$2)+K$1, COUNTA(Working!$A$2:INDEX(Working!$A:$A, MATCH("zzz", Working!$A:$A)))) + 1))</f>
        <v/>
      </c>
      <c r="L117" t="str" cm="1">
        <f t="array" ref="L117">IF(Working!$A117="","",INDEX(Working!$A$2:INDEX(Working!$A:$A, MATCH("zzz", Working!$A:$A)), MOD(ROW()-ROW(L$2)+L$1, COUNTA(Working!$A$2:INDEX(Working!$A:$A, MATCH("zzz", Working!$A:$A)))) + 1))</f>
        <v/>
      </c>
    </row>
    <row r="118" spans="3:12" ht="15.75" customHeight="1" x14ac:dyDescent="0.2">
      <c r="C118" t="str" cm="1">
        <f t="array" ref="C118">IF(Working!$A118="","",INDEX(Working!$A$2:INDEX(Working!$A:$A, MATCH("zzz", Working!$A:$A)), MOD(ROW()-ROW(C$2)+C$1, COUNTA(Working!$A$2:INDEX(Working!$A:$A, MATCH("zzz", Working!$A:$A)))) + 1))</f>
        <v/>
      </c>
      <c r="D118" t="str" cm="1">
        <f t="array" ref="D118">IF(Working!$A118="","",INDEX(Working!$A$2:INDEX(Working!$A:$A, MATCH("zzz", Working!$A:$A)), MOD(ROW()-ROW(D$2)+D$1, COUNTA(Working!$A$2:INDEX(Working!$A:$A, MATCH("zzz", Working!$A:$A)))) + 1))</f>
        <v/>
      </c>
      <c r="E118" t="str" cm="1">
        <f t="array" ref="E118">IF(Working!$A118="","",INDEX(Working!$A$2:INDEX(Working!$A:$A, MATCH("zzz", Working!$A:$A)), MOD(ROW()-ROW(E$2)+E$1, COUNTA(Working!$A$2:INDEX(Working!$A:$A, MATCH("zzz", Working!$A:$A)))) + 1))</f>
        <v/>
      </c>
      <c r="F118" t="str" cm="1">
        <f t="array" ref="F118">IF(Working!$A118="","",INDEX(Working!$A$2:INDEX(Working!$A:$A, MATCH("zzz", Working!$A:$A)), MOD(ROW()-ROW(F$2)+F$1, COUNTA(Working!$A$2:INDEX(Working!$A:$A, MATCH("zzz", Working!$A:$A)))) + 1))</f>
        <v/>
      </c>
      <c r="G118" t="str" cm="1">
        <f t="array" ref="G118">IF(Working!$A118="","",INDEX(Working!$A$2:INDEX(Working!$A:$A, MATCH("zzz", Working!$A:$A)), MOD(ROW()-ROW(G$2)+G$1, COUNTA(Working!$A$2:INDEX(Working!$A:$A, MATCH("zzz", Working!$A:$A)))) + 1))</f>
        <v/>
      </c>
      <c r="H118" t="str" cm="1">
        <f t="array" ref="H118">IF(Working!$A118="","",INDEX(Working!$A$2:INDEX(Working!$A:$A, MATCH("zzz", Working!$A:$A)), MOD(ROW()-ROW(H$2)+H$1, COUNTA(Working!$A$2:INDEX(Working!$A:$A, MATCH("zzz", Working!$A:$A)))) + 1))</f>
        <v/>
      </c>
      <c r="I118" t="str" cm="1">
        <f t="array" ref="I118">IF(Working!$A118="","",INDEX(Working!$A$2:INDEX(Working!$A:$A, MATCH("zzz", Working!$A:$A)), MOD(ROW()-ROW(I$2)+I$1, COUNTA(Working!$A$2:INDEX(Working!$A:$A, MATCH("zzz", Working!$A:$A)))) + 1))</f>
        <v/>
      </c>
      <c r="J118" t="str" cm="1">
        <f t="array" ref="J118">IF(Working!$A118="","",INDEX(Working!$A$2:INDEX(Working!$A:$A, MATCH("zzz", Working!$A:$A)), MOD(ROW()-ROW(J$2)+J$1, COUNTA(Working!$A$2:INDEX(Working!$A:$A, MATCH("zzz", Working!$A:$A)))) + 1))</f>
        <v/>
      </c>
      <c r="K118" t="str" cm="1">
        <f t="array" ref="K118">IF(Working!$A118="","",INDEX(Working!$A$2:INDEX(Working!$A:$A, MATCH("zzz", Working!$A:$A)), MOD(ROW()-ROW(K$2)+K$1, COUNTA(Working!$A$2:INDEX(Working!$A:$A, MATCH("zzz", Working!$A:$A)))) + 1))</f>
        <v/>
      </c>
      <c r="L118" t="str" cm="1">
        <f t="array" ref="L118">IF(Working!$A118="","",INDEX(Working!$A$2:INDEX(Working!$A:$A, MATCH("zzz", Working!$A:$A)), MOD(ROW()-ROW(L$2)+L$1, COUNTA(Working!$A$2:INDEX(Working!$A:$A, MATCH("zzz", Working!$A:$A)))) + 1))</f>
        <v/>
      </c>
    </row>
    <row r="119" spans="3:12" ht="15.75" customHeight="1" x14ac:dyDescent="0.2">
      <c r="C119" t="str" cm="1">
        <f t="array" ref="C119">IF(Working!$A119="","",INDEX(Working!$A$2:INDEX(Working!$A:$A, MATCH("zzz", Working!$A:$A)), MOD(ROW()-ROW(C$2)+C$1, COUNTA(Working!$A$2:INDEX(Working!$A:$A, MATCH("zzz", Working!$A:$A)))) + 1))</f>
        <v/>
      </c>
      <c r="D119" t="str" cm="1">
        <f t="array" ref="D119">IF(Working!$A119="","",INDEX(Working!$A$2:INDEX(Working!$A:$A, MATCH("zzz", Working!$A:$A)), MOD(ROW()-ROW(D$2)+D$1, COUNTA(Working!$A$2:INDEX(Working!$A:$A, MATCH("zzz", Working!$A:$A)))) + 1))</f>
        <v/>
      </c>
      <c r="E119" t="str" cm="1">
        <f t="array" ref="E119">IF(Working!$A119="","",INDEX(Working!$A$2:INDEX(Working!$A:$A, MATCH("zzz", Working!$A:$A)), MOD(ROW()-ROW(E$2)+E$1, COUNTA(Working!$A$2:INDEX(Working!$A:$A, MATCH("zzz", Working!$A:$A)))) + 1))</f>
        <v/>
      </c>
      <c r="F119" t="str" cm="1">
        <f t="array" ref="F119">IF(Working!$A119="","",INDEX(Working!$A$2:INDEX(Working!$A:$A, MATCH("zzz", Working!$A:$A)), MOD(ROW()-ROW(F$2)+F$1, COUNTA(Working!$A$2:INDEX(Working!$A:$A, MATCH("zzz", Working!$A:$A)))) + 1))</f>
        <v/>
      </c>
      <c r="G119" t="str" cm="1">
        <f t="array" ref="G119">IF(Working!$A119="","",INDEX(Working!$A$2:INDEX(Working!$A:$A, MATCH("zzz", Working!$A:$A)), MOD(ROW()-ROW(G$2)+G$1, COUNTA(Working!$A$2:INDEX(Working!$A:$A, MATCH("zzz", Working!$A:$A)))) + 1))</f>
        <v/>
      </c>
      <c r="H119" t="str" cm="1">
        <f t="array" ref="H119">IF(Working!$A119="","",INDEX(Working!$A$2:INDEX(Working!$A:$A, MATCH("zzz", Working!$A:$A)), MOD(ROW()-ROW(H$2)+H$1, COUNTA(Working!$A$2:INDEX(Working!$A:$A, MATCH("zzz", Working!$A:$A)))) + 1))</f>
        <v/>
      </c>
      <c r="I119" t="str" cm="1">
        <f t="array" ref="I119">IF(Working!$A119="","",INDEX(Working!$A$2:INDEX(Working!$A:$A, MATCH("zzz", Working!$A:$A)), MOD(ROW()-ROW(I$2)+I$1, COUNTA(Working!$A$2:INDEX(Working!$A:$A, MATCH("zzz", Working!$A:$A)))) + 1))</f>
        <v/>
      </c>
      <c r="J119" t="str" cm="1">
        <f t="array" ref="J119">IF(Working!$A119="","",INDEX(Working!$A$2:INDEX(Working!$A:$A, MATCH("zzz", Working!$A:$A)), MOD(ROW()-ROW(J$2)+J$1, COUNTA(Working!$A$2:INDEX(Working!$A:$A, MATCH("zzz", Working!$A:$A)))) + 1))</f>
        <v/>
      </c>
      <c r="K119" t="str" cm="1">
        <f t="array" ref="K119">IF(Working!$A119="","",INDEX(Working!$A$2:INDEX(Working!$A:$A, MATCH("zzz", Working!$A:$A)), MOD(ROW()-ROW(K$2)+K$1, COUNTA(Working!$A$2:INDEX(Working!$A:$A, MATCH("zzz", Working!$A:$A)))) + 1))</f>
        <v/>
      </c>
      <c r="L119" t="str" cm="1">
        <f t="array" ref="L119">IF(Working!$A119="","",INDEX(Working!$A$2:INDEX(Working!$A:$A, MATCH("zzz", Working!$A:$A)), MOD(ROW()-ROW(L$2)+L$1, COUNTA(Working!$A$2:INDEX(Working!$A:$A, MATCH("zzz", Working!$A:$A)))) + 1))</f>
        <v/>
      </c>
    </row>
    <row r="120" spans="3:12" ht="15.75" customHeight="1" x14ac:dyDescent="0.2">
      <c r="C120" t="str" cm="1">
        <f t="array" ref="C120">IF(Working!$A120="","",INDEX(Working!$A$2:INDEX(Working!$A:$A, MATCH("zzz", Working!$A:$A)), MOD(ROW()-ROW(C$2)+C$1, COUNTA(Working!$A$2:INDEX(Working!$A:$A, MATCH("zzz", Working!$A:$A)))) + 1))</f>
        <v/>
      </c>
      <c r="D120" t="str" cm="1">
        <f t="array" ref="D120">IF(Working!$A120="","",INDEX(Working!$A$2:INDEX(Working!$A:$A, MATCH("zzz", Working!$A:$A)), MOD(ROW()-ROW(D$2)+D$1, COUNTA(Working!$A$2:INDEX(Working!$A:$A, MATCH("zzz", Working!$A:$A)))) + 1))</f>
        <v/>
      </c>
      <c r="E120" t="str" cm="1">
        <f t="array" ref="E120">IF(Working!$A120="","",INDEX(Working!$A$2:INDEX(Working!$A:$A, MATCH("zzz", Working!$A:$A)), MOD(ROW()-ROW(E$2)+E$1, COUNTA(Working!$A$2:INDEX(Working!$A:$A, MATCH("zzz", Working!$A:$A)))) + 1))</f>
        <v/>
      </c>
      <c r="F120" t="str" cm="1">
        <f t="array" ref="F120">IF(Working!$A120="","",INDEX(Working!$A$2:INDEX(Working!$A:$A, MATCH("zzz", Working!$A:$A)), MOD(ROW()-ROW(F$2)+F$1, COUNTA(Working!$A$2:INDEX(Working!$A:$A, MATCH("zzz", Working!$A:$A)))) + 1))</f>
        <v/>
      </c>
      <c r="G120" t="str" cm="1">
        <f t="array" ref="G120">IF(Working!$A120="","",INDEX(Working!$A$2:INDEX(Working!$A:$A, MATCH("zzz", Working!$A:$A)), MOD(ROW()-ROW(G$2)+G$1, COUNTA(Working!$A$2:INDEX(Working!$A:$A, MATCH("zzz", Working!$A:$A)))) + 1))</f>
        <v/>
      </c>
      <c r="H120" t="str" cm="1">
        <f t="array" ref="H120">IF(Working!$A120="","",INDEX(Working!$A$2:INDEX(Working!$A:$A, MATCH("zzz", Working!$A:$A)), MOD(ROW()-ROW(H$2)+H$1, COUNTA(Working!$A$2:INDEX(Working!$A:$A, MATCH("zzz", Working!$A:$A)))) + 1))</f>
        <v/>
      </c>
      <c r="I120" t="str" cm="1">
        <f t="array" ref="I120">IF(Working!$A120="","",INDEX(Working!$A$2:INDEX(Working!$A:$A, MATCH("zzz", Working!$A:$A)), MOD(ROW()-ROW(I$2)+I$1, COUNTA(Working!$A$2:INDEX(Working!$A:$A, MATCH("zzz", Working!$A:$A)))) + 1))</f>
        <v/>
      </c>
      <c r="J120" t="str" cm="1">
        <f t="array" ref="J120">IF(Working!$A120="","",INDEX(Working!$A$2:INDEX(Working!$A:$A, MATCH("zzz", Working!$A:$A)), MOD(ROW()-ROW(J$2)+J$1, COUNTA(Working!$A$2:INDEX(Working!$A:$A, MATCH("zzz", Working!$A:$A)))) + 1))</f>
        <v/>
      </c>
      <c r="K120" t="str" cm="1">
        <f t="array" ref="K120">IF(Working!$A120="","",INDEX(Working!$A$2:INDEX(Working!$A:$A, MATCH("zzz", Working!$A:$A)), MOD(ROW()-ROW(K$2)+K$1, COUNTA(Working!$A$2:INDEX(Working!$A:$A, MATCH("zzz", Working!$A:$A)))) + 1))</f>
        <v/>
      </c>
      <c r="L120" t="str" cm="1">
        <f t="array" ref="L120">IF(Working!$A120="","",INDEX(Working!$A$2:INDEX(Working!$A:$A, MATCH("zzz", Working!$A:$A)), MOD(ROW()-ROW(L$2)+L$1, COUNTA(Working!$A$2:INDEX(Working!$A:$A, MATCH("zzz", Working!$A:$A)))) + 1))</f>
        <v/>
      </c>
    </row>
    <row r="121" spans="3:12" ht="15.75" customHeight="1" x14ac:dyDescent="0.2">
      <c r="C121" t="str" cm="1">
        <f t="array" ref="C121">IF(Working!$A121="","",INDEX(Working!$A$2:INDEX(Working!$A:$A, MATCH("zzz", Working!$A:$A)), MOD(ROW()-ROW(C$2)+C$1, COUNTA(Working!$A$2:INDEX(Working!$A:$A, MATCH("zzz", Working!$A:$A)))) + 1))</f>
        <v/>
      </c>
      <c r="D121" t="str" cm="1">
        <f t="array" ref="D121">IF(Working!$A121="","",INDEX(Working!$A$2:INDEX(Working!$A:$A, MATCH("zzz", Working!$A:$A)), MOD(ROW()-ROW(D$2)+D$1, COUNTA(Working!$A$2:INDEX(Working!$A:$A, MATCH("zzz", Working!$A:$A)))) + 1))</f>
        <v/>
      </c>
      <c r="E121" t="str" cm="1">
        <f t="array" ref="E121">IF(Working!$A121="","",INDEX(Working!$A$2:INDEX(Working!$A:$A, MATCH("zzz", Working!$A:$A)), MOD(ROW()-ROW(E$2)+E$1, COUNTA(Working!$A$2:INDEX(Working!$A:$A, MATCH("zzz", Working!$A:$A)))) + 1))</f>
        <v/>
      </c>
      <c r="F121" t="str" cm="1">
        <f t="array" ref="F121">IF(Working!$A121="","",INDEX(Working!$A$2:INDEX(Working!$A:$A, MATCH("zzz", Working!$A:$A)), MOD(ROW()-ROW(F$2)+F$1, COUNTA(Working!$A$2:INDEX(Working!$A:$A, MATCH("zzz", Working!$A:$A)))) + 1))</f>
        <v/>
      </c>
      <c r="G121" t="str" cm="1">
        <f t="array" ref="G121">IF(Working!$A121="","",INDEX(Working!$A$2:INDEX(Working!$A:$A, MATCH("zzz", Working!$A:$A)), MOD(ROW()-ROW(G$2)+G$1, COUNTA(Working!$A$2:INDEX(Working!$A:$A, MATCH("zzz", Working!$A:$A)))) + 1))</f>
        <v/>
      </c>
      <c r="H121" t="str" cm="1">
        <f t="array" ref="H121">IF(Working!$A121="","",INDEX(Working!$A$2:INDEX(Working!$A:$A, MATCH("zzz", Working!$A:$A)), MOD(ROW()-ROW(H$2)+H$1, COUNTA(Working!$A$2:INDEX(Working!$A:$A, MATCH("zzz", Working!$A:$A)))) + 1))</f>
        <v/>
      </c>
      <c r="I121" t="str" cm="1">
        <f t="array" ref="I121">IF(Working!$A121="","",INDEX(Working!$A$2:INDEX(Working!$A:$A, MATCH("zzz", Working!$A:$A)), MOD(ROW()-ROW(I$2)+I$1, COUNTA(Working!$A$2:INDEX(Working!$A:$A, MATCH("zzz", Working!$A:$A)))) + 1))</f>
        <v/>
      </c>
      <c r="J121" t="str" cm="1">
        <f t="array" ref="J121">IF(Working!$A121="","",INDEX(Working!$A$2:INDEX(Working!$A:$A, MATCH("zzz", Working!$A:$A)), MOD(ROW()-ROW(J$2)+J$1, COUNTA(Working!$A$2:INDEX(Working!$A:$A, MATCH("zzz", Working!$A:$A)))) + 1))</f>
        <v/>
      </c>
      <c r="K121" t="str" cm="1">
        <f t="array" ref="K121">IF(Working!$A121="","",INDEX(Working!$A$2:INDEX(Working!$A:$A, MATCH("zzz", Working!$A:$A)), MOD(ROW()-ROW(K$2)+K$1, COUNTA(Working!$A$2:INDEX(Working!$A:$A, MATCH("zzz", Working!$A:$A)))) + 1))</f>
        <v/>
      </c>
      <c r="L121" t="str" cm="1">
        <f t="array" ref="L121">IF(Working!$A121="","",INDEX(Working!$A$2:INDEX(Working!$A:$A, MATCH("zzz", Working!$A:$A)), MOD(ROW()-ROW(L$2)+L$1, COUNTA(Working!$A$2:INDEX(Working!$A:$A, MATCH("zzz", Working!$A:$A)))) + 1))</f>
        <v/>
      </c>
    </row>
    <row r="122" spans="3:12" ht="15.75" customHeight="1" x14ac:dyDescent="0.2">
      <c r="C122" t="str" cm="1">
        <f t="array" ref="C122">IF(Working!$A122="","",INDEX(Working!$A$2:INDEX(Working!$A:$A, MATCH("zzz", Working!$A:$A)), MOD(ROW()-ROW(C$2)+C$1, COUNTA(Working!$A$2:INDEX(Working!$A:$A, MATCH("zzz", Working!$A:$A)))) + 1))</f>
        <v/>
      </c>
      <c r="D122" t="str" cm="1">
        <f t="array" ref="D122">IF(Working!$A122="","",INDEX(Working!$A$2:INDEX(Working!$A:$A, MATCH("zzz", Working!$A:$A)), MOD(ROW()-ROW(D$2)+D$1, COUNTA(Working!$A$2:INDEX(Working!$A:$A, MATCH("zzz", Working!$A:$A)))) + 1))</f>
        <v/>
      </c>
      <c r="E122" t="str" cm="1">
        <f t="array" ref="E122">IF(Working!$A122="","",INDEX(Working!$A$2:INDEX(Working!$A:$A, MATCH("zzz", Working!$A:$A)), MOD(ROW()-ROW(E$2)+E$1, COUNTA(Working!$A$2:INDEX(Working!$A:$A, MATCH("zzz", Working!$A:$A)))) + 1))</f>
        <v/>
      </c>
      <c r="F122" t="str" cm="1">
        <f t="array" ref="F122">IF(Working!$A122="","",INDEX(Working!$A$2:INDEX(Working!$A:$A, MATCH("zzz", Working!$A:$A)), MOD(ROW()-ROW(F$2)+F$1, COUNTA(Working!$A$2:INDEX(Working!$A:$A, MATCH("zzz", Working!$A:$A)))) + 1))</f>
        <v/>
      </c>
      <c r="G122" t="str" cm="1">
        <f t="array" ref="G122">IF(Working!$A122="","",INDEX(Working!$A$2:INDEX(Working!$A:$A, MATCH("zzz", Working!$A:$A)), MOD(ROW()-ROW(G$2)+G$1, COUNTA(Working!$A$2:INDEX(Working!$A:$A, MATCH("zzz", Working!$A:$A)))) + 1))</f>
        <v/>
      </c>
      <c r="H122" t="str" cm="1">
        <f t="array" ref="H122">IF(Working!$A122="","",INDEX(Working!$A$2:INDEX(Working!$A:$A, MATCH("zzz", Working!$A:$A)), MOD(ROW()-ROW(H$2)+H$1, COUNTA(Working!$A$2:INDEX(Working!$A:$A, MATCH("zzz", Working!$A:$A)))) + 1))</f>
        <v/>
      </c>
      <c r="I122" t="str" cm="1">
        <f t="array" ref="I122">IF(Working!$A122="","",INDEX(Working!$A$2:INDEX(Working!$A:$A, MATCH("zzz", Working!$A:$A)), MOD(ROW()-ROW(I$2)+I$1, COUNTA(Working!$A$2:INDEX(Working!$A:$A, MATCH("zzz", Working!$A:$A)))) + 1))</f>
        <v/>
      </c>
      <c r="J122" t="str" cm="1">
        <f t="array" ref="J122">IF(Working!$A122="","",INDEX(Working!$A$2:INDEX(Working!$A:$A, MATCH("zzz", Working!$A:$A)), MOD(ROW()-ROW(J$2)+J$1, COUNTA(Working!$A$2:INDEX(Working!$A:$A, MATCH("zzz", Working!$A:$A)))) + 1))</f>
        <v/>
      </c>
      <c r="K122" t="str" cm="1">
        <f t="array" ref="K122">IF(Working!$A122="","",INDEX(Working!$A$2:INDEX(Working!$A:$A, MATCH("zzz", Working!$A:$A)), MOD(ROW()-ROW(K$2)+K$1, COUNTA(Working!$A$2:INDEX(Working!$A:$A, MATCH("zzz", Working!$A:$A)))) + 1))</f>
        <v/>
      </c>
      <c r="L122" t="str" cm="1">
        <f t="array" ref="L122">IF(Working!$A122="","",INDEX(Working!$A$2:INDEX(Working!$A:$A, MATCH("zzz", Working!$A:$A)), MOD(ROW()-ROW(L$2)+L$1, COUNTA(Working!$A$2:INDEX(Working!$A:$A, MATCH("zzz", Working!$A:$A)))) + 1))</f>
        <v/>
      </c>
    </row>
    <row r="123" spans="3:12" ht="15.75" customHeight="1" x14ac:dyDescent="0.2">
      <c r="C123" t="str" cm="1">
        <f t="array" ref="C123">IF(Working!$A123="","",INDEX(Working!$A$2:INDEX(Working!$A:$A, MATCH("zzz", Working!$A:$A)), MOD(ROW()-ROW(C$2)+C$1, COUNTA(Working!$A$2:INDEX(Working!$A:$A, MATCH("zzz", Working!$A:$A)))) + 1))</f>
        <v/>
      </c>
      <c r="D123" t="str" cm="1">
        <f t="array" ref="D123">IF(Working!$A123="","",INDEX(Working!$A$2:INDEX(Working!$A:$A, MATCH("zzz", Working!$A:$A)), MOD(ROW()-ROW(D$2)+D$1, COUNTA(Working!$A$2:INDEX(Working!$A:$A, MATCH("zzz", Working!$A:$A)))) + 1))</f>
        <v/>
      </c>
      <c r="E123" t="str" cm="1">
        <f t="array" ref="E123">IF(Working!$A123="","",INDEX(Working!$A$2:INDEX(Working!$A:$A, MATCH("zzz", Working!$A:$A)), MOD(ROW()-ROW(E$2)+E$1, COUNTA(Working!$A$2:INDEX(Working!$A:$A, MATCH("zzz", Working!$A:$A)))) + 1))</f>
        <v/>
      </c>
      <c r="F123" t="str" cm="1">
        <f t="array" ref="F123">IF(Working!$A123="","",INDEX(Working!$A$2:INDEX(Working!$A:$A, MATCH("zzz", Working!$A:$A)), MOD(ROW()-ROW(F$2)+F$1, COUNTA(Working!$A$2:INDEX(Working!$A:$A, MATCH("zzz", Working!$A:$A)))) + 1))</f>
        <v/>
      </c>
      <c r="G123" t="str" cm="1">
        <f t="array" ref="G123">IF(Working!$A123="","",INDEX(Working!$A$2:INDEX(Working!$A:$A, MATCH("zzz", Working!$A:$A)), MOD(ROW()-ROW(G$2)+G$1, COUNTA(Working!$A$2:INDEX(Working!$A:$A, MATCH("zzz", Working!$A:$A)))) + 1))</f>
        <v/>
      </c>
      <c r="H123" t="str" cm="1">
        <f t="array" ref="H123">IF(Working!$A123="","",INDEX(Working!$A$2:INDEX(Working!$A:$A, MATCH("zzz", Working!$A:$A)), MOD(ROW()-ROW(H$2)+H$1, COUNTA(Working!$A$2:INDEX(Working!$A:$A, MATCH("zzz", Working!$A:$A)))) + 1))</f>
        <v/>
      </c>
      <c r="I123" t="str" cm="1">
        <f t="array" ref="I123">IF(Working!$A123="","",INDEX(Working!$A$2:INDEX(Working!$A:$A, MATCH("zzz", Working!$A:$A)), MOD(ROW()-ROW(I$2)+I$1, COUNTA(Working!$A$2:INDEX(Working!$A:$A, MATCH("zzz", Working!$A:$A)))) + 1))</f>
        <v/>
      </c>
      <c r="J123" t="str" cm="1">
        <f t="array" ref="J123">IF(Working!$A123="","",INDEX(Working!$A$2:INDEX(Working!$A:$A, MATCH("zzz", Working!$A:$A)), MOD(ROW()-ROW(J$2)+J$1, COUNTA(Working!$A$2:INDEX(Working!$A:$A, MATCH("zzz", Working!$A:$A)))) + 1))</f>
        <v/>
      </c>
      <c r="K123" t="str" cm="1">
        <f t="array" ref="K123">IF(Working!$A123="","",INDEX(Working!$A$2:INDEX(Working!$A:$A, MATCH("zzz", Working!$A:$A)), MOD(ROW()-ROW(K$2)+K$1, COUNTA(Working!$A$2:INDEX(Working!$A:$A, MATCH("zzz", Working!$A:$A)))) + 1))</f>
        <v/>
      </c>
      <c r="L123" t="str" cm="1">
        <f t="array" ref="L123">IF(Working!$A123="","",INDEX(Working!$A$2:INDEX(Working!$A:$A, MATCH("zzz", Working!$A:$A)), MOD(ROW()-ROW(L$2)+L$1, COUNTA(Working!$A$2:INDEX(Working!$A:$A, MATCH("zzz", Working!$A:$A)))) + 1))</f>
        <v/>
      </c>
    </row>
    <row r="124" spans="3:12" ht="15.75" customHeight="1" x14ac:dyDescent="0.2">
      <c r="C124" t="str" cm="1">
        <f t="array" ref="C124">IF(Working!$A124="","",INDEX(Working!$A$2:INDEX(Working!$A:$A, MATCH("zzz", Working!$A:$A)), MOD(ROW()-ROW(C$2)+C$1, COUNTA(Working!$A$2:INDEX(Working!$A:$A, MATCH("zzz", Working!$A:$A)))) + 1))</f>
        <v/>
      </c>
      <c r="D124" t="str" cm="1">
        <f t="array" ref="D124">IF(Working!$A124="","",INDEX(Working!$A$2:INDEX(Working!$A:$A, MATCH("zzz", Working!$A:$A)), MOD(ROW()-ROW(D$2)+D$1, COUNTA(Working!$A$2:INDEX(Working!$A:$A, MATCH("zzz", Working!$A:$A)))) + 1))</f>
        <v/>
      </c>
      <c r="E124" t="str" cm="1">
        <f t="array" ref="E124">IF(Working!$A124="","",INDEX(Working!$A$2:INDEX(Working!$A:$A, MATCH("zzz", Working!$A:$A)), MOD(ROW()-ROW(E$2)+E$1, COUNTA(Working!$A$2:INDEX(Working!$A:$A, MATCH("zzz", Working!$A:$A)))) + 1))</f>
        <v/>
      </c>
      <c r="F124" t="str" cm="1">
        <f t="array" ref="F124">IF(Working!$A124="","",INDEX(Working!$A$2:INDEX(Working!$A:$A, MATCH("zzz", Working!$A:$A)), MOD(ROW()-ROW(F$2)+F$1, COUNTA(Working!$A$2:INDEX(Working!$A:$A, MATCH("zzz", Working!$A:$A)))) + 1))</f>
        <v/>
      </c>
      <c r="G124" t="str" cm="1">
        <f t="array" ref="G124">IF(Working!$A124="","",INDEX(Working!$A$2:INDEX(Working!$A:$A, MATCH("zzz", Working!$A:$A)), MOD(ROW()-ROW(G$2)+G$1, COUNTA(Working!$A$2:INDEX(Working!$A:$A, MATCH("zzz", Working!$A:$A)))) + 1))</f>
        <v/>
      </c>
      <c r="H124" t="str" cm="1">
        <f t="array" ref="H124">IF(Working!$A124="","",INDEX(Working!$A$2:INDEX(Working!$A:$A, MATCH("zzz", Working!$A:$A)), MOD(ROW()-ROW(H$2)+H$1, COUNTA(Working!$A$2:INDEX(Working!$A:$A, MATCH("zzz", Working!$A:$A)))) + 1))</f>
        <v/>
      </c>
      <c r="I124" t="str" cm="1">
        <f t="array" ref="I124">IF(Working!$A124="","",INDEX(Working!$A$2:INDEX(Working!$A:$A, MATCH("zzz", Working!$A:$A)), MOD(ROW()-ROW(I$2)+I$1, COUNTA(Working!$A$2:INDEX(Working!$A:$A, MATCH("zzz", Working!$A:$A)))) + 1))</f>
        <v/>
      </c>
      <c r="J124" t="str" cm="1">
        <f t="array" ref="J124">IF(Working!$A124="","",INDEX(Working!$A$2:INDEX(Working!$A:$A, MATCH("zzz", Working!$A:$A)), MOD(ROW()-ROW(J$2)+J$1, COUNTA(Working!$A$2:INDEX(Working!$A:$A, MATCH("zzz", Working!$A:$A)))) + 1))</f>
        <v/>
      </c>
      <c r="K124" t="str" cm="1">
        <f t="array" ref="K124">IF(Working!$A124="","",INDEX(Working!$A$2:INDEX(Working!$A:$A, MATCH("zzz", Working!$A:$A)), MOD(ROW()-ROW(K$2)+K$1, COUNTA(Working!$A$2:INDEX(Working!$A:$A, MATCH("zzz", Working!$A:$A)))) + 1))</f>
        <v/>
      </c>
      <c r="L124" t="str" cm="1">
        <f t="array" ref="L124">IF(Working!$A124="","",INDEX(Working!$A$2:INDEX(Working!$A:$A, MATCH("zzz", Working!$A:$A)), MOD(ROW()-ROW(L$2)+L$1, COUNTA(Working!$A$2:INDEX(Working!$A:$A, MATCH("zzz", Working!$A:$A)))) + 1))</f>
        <v/>
      </c>
    </row>
    <row r="125" spans="3:12" ht="15.75" customHeight="1" x14ac:dyDescent="0.2">
      <c r="C125" t="str" cm="1">
        <f t="array" ref="C125">IF(Working!$A125="","",INDEX(Working!$A$2:INDEX(Working!$A:$A, MATCH("zzz", Working!$A:$A)), MOD(ROW()-ROW(C$2)+C$1, COUNTA(Working!$A$2:INDEX(Working!$A:$A, MATCH("zzz", Working!$A:$A)))) + 1))</f>
        <v/>
      </c>
      <c r="D125" t="str" cm="1">
        <f t="array" ref="D125">IF(Working!$A125="","",INDEX(Working!$A$2:INDEX(Working!$A:$A, MATCH("zzz", Working!$A:$A)), MOD(ROW()-ROW(D$2)+D$1, COUNTA(Working!$A$2:INDEX(Working!$A:$A, MATCH("zzz", Working!$A:$A)))) + 1))</f>
        <v/>
      </c>
      <c r="E125" t="str" cm="1">
        <f t="array" ref="E125">IF(Working!$A125="","",INDEX(Working!$A$2:INDEX(Working!$A:$A, MATCH("zzz", Working!$A:$A)), MOD(ROW()-ROW(E$2)+E$1, COUNTA(Working!$A$2:INDEX(Working!$A:$A, MATCH("zzz", Working!$A:$A)))) + 1))</f>
        <v/>
      </c>
      <c r="F125" t="str" cm="1">
        <f t="array" ref="F125">IF(Working!$A125="","",INDEX(Working!$A$2:INDEX(Working!$A:$A, MATCH("zzz", Working!$A:$A)), MOD(ROW()-ROW(F$2)+F$1, COUNTA(Working!$A$2:INDEX(Working!$A:$A, MATCH("zzz", Working!$A:$A)))) + 1))</f>
        <v/>
      </c>
      <c r="G125" t="str" cm="1">
        <f t="array" ref="G125">IF(Working!$A125="","",INDEX(Working!$A$2:INDEX(Working!$A:$A, MATCH("zzz", Working!$A:$A)), MOD(ROW()-ROW(G$2)+G$1, COUNTA(Working!$A$2:INDEX(Working!$A:$A, MATCH("zzz", Working!$A:$A)))) + 1))</f>
        <v/>
      </c>
      <c r="H125" t="str" cm="1">
        <f t="array" ref="H125">IF(Working!$A125="","",INDEX(Working!$A$2:INDEX(Working!$A:$A, MATCH("zzz", Working!$A:$A)), MOD(ROW()-ROW(H$2)+H$1, COUNTA(Working!$A$2:INDEX(Working!$A:$A, MATCH("zzz", Working!$A:$A)))) + 1))</f>
        <v/>
      </c>
      <c r="I125" t="str" cm="1">
        <f t="array" ref="I125">IF(Working!$A125="","",INDEX(Working!$A$2:INDEX(Working!$A:$A, MATCH("zzz", Working!$A:$A)), MOD(ROW()-ROW(I$2)+I$1, COUNTA(Working!$A$2:INDEX(Working!$A:$A, MATCH("zzz", Working!$A:$A)))) + 1))</f>
        <v/>
      </c>
      <c r="J125" t="str" cm="1">
        <f t="array" ref="J125">IF(Working!$A125="","",INDEX(Working!$A$2:INDEX(Working!$A:$A, MATCH("zzz", Working!$A:$A)), MOD(ROW()-ROW(J$2)+J$1, COUNTA(Working!$A$2:INDEX(Working!$A:$A, MATCH("zzz", Working!$A:$A)))) + 1))</f>
        <v/>
      </c>
      <c r="K125" t="str" cm="1">
        <f t="array" ref="K125">IF(Working!$A125="","",INDEX(Working!$A$2:INDEX(Working!$A:$A, MATCH("zzz", Working!$A:$A)), MOD(ROW()-ROW(K$2)+K$1, COUNTA(Working!$A$2:INDEX(Working!$A:$A, MATCH("zzz", Working!$A:$A)))) + 1))</f>
        <v/>
      </c>
      <c r="L125" t="str" cm="1">
        <f t="array" ref="L125">IF(Working!$A125="","",INDEX(Working!$A$2:INDEX(Working!$A:$A, MATCH("zzz", Working!$A:$A)), MOD(ROW()-ROW(L$2)+L$1, COUNTA(Working!$A$2:INDEX(Working!$A:$A, MATCH("zzz", Working!$A:$A)))) + 1))</f>
        <v/>
      </c>
    </row>
    <row r="126" spans="3:12" ht="15.75" customHeight="1" x14ac:dyDescent="0.2">
      <c r="C126" t="str" cm="1">
        <f t="array" ref="C126">IF(Working!$A126="","",INDEX(Working!$A$2:INDEX(Working!$A:$A, MATCH("zzz", Working!$A:$A)), MOD(ROW()-ROW(C$2)+C$1, COUNTA(Working!$A$2:INDEX(Working!$A:$A, MATCH("zzz", Working!$A:$A)))) + 1))</f>
        <v/>
      </c>
      <c r="D126" t="str" cm="1">
        <f t="array" ref="D126">IF(Working!$A126="","",INDEX(Working!$A$2:INDEX(Working!$A:$A, MATCH("zzz", Working!$A:$A)), MOD(ROW()-ROW(D$2)+D$1, COUNTA(Working!$A$2:INDEX(Working!$A:$A, MATCH("zzz", Working!$A:$A)))) + 1))</f>
        <v/>
      </c>
      <c r="E126" t="str" cm="1">
        <f t="array" ref="E126">IF(Working!$A126="","",INDEX(Working!$A$2:INDEX(Working!$A:$A, MATCH("zzz", Working!$A:$A)), MOD(ROW()-ROW(E$2)+E$1, COUNTA(Working!$A$2:INDEX(Working!$A:$A, MATCH("zzz", Working!$A:$A)))) + 1))</f>
        <v/>
      </c>
      <c r="F126" t="str" cm="1">
        <f t="array" ref="F126">IF(Working!$A126="","",INDEX(Working!$A$2:INDEX(Working!$A:$A, MATCH("zzz", Working!$A:$A)), MOD(ROW()-ROW(F$2)+F$1, COUNTA(Working!$A$2:INDEX(Working!$A:$A, MATCH("zzz", Working!$A:$A)))) + 1))</f>
        <v/>
      </c>
      <c r="G126" t="str" cm="1">
        <f t="array" ref="G126">IF(Working!$A126="","",INDEX(Working!$A$2:INDEX(Working!$A:$A, MATCH("zzz", Working!$A:$A)), MOD(ROW()-ROW(G$2)+G$1, COUNTA(Working!$A$2:INDEX(Working!$A:$A, MATCH("zzz", Working!$A:$A)))) + 1))</f>
        <v/>
      </c>
      <c r="H126" t="str" cm="1">
        <f t="array" ref="H126">IF(Working!$A126="","",INDEX(Working!$A$2:INDEX(Working!$A:$A, MATCH("zzz", Working!$A:$A)), MOD(ROW()-ROW(H$2)+H$1, COUNTA(Working!$A$2:INDEX(Working!$A:$A, MATCH("zzz", Working!$A:$A)))) + 1))</f>
        <v/>
      </c>
      <c r="I126" t="str" cm="1">
        <f t="array" ref="I126">IF(Working!$A126="","",INDEX(Working!$A$2:INDEX(Working!$A:$A, MATCH("zzz", Working!$A:$A)), MOD(ROW()-ROW(I$2)+I$1, COUNTA(Working!$A$2:INDEX(Working!$A:$A, MATCH("zzz", Working!$A:$A)))) + 1))</f>
        <v/>
      </c>
      <c r="J126" t="str" cm="1">
        <f t="array" ref="J126">IF(Working!$A126="","",INDEX(Working!$A$2:INDEX(Working!$A:$A, MATCH("zzz", Working!$A:$A)), MOD(ROW()-ROW(J$2)+J$1, COUNTA(Working!$A$2:INDEX(Working!$A:$A, MATCH("zzz", Working!$A:$A)))) + 1))</f>
        <v/>
      </c>
      <c r="K126" t="str" cm="1">
        <f t="array" ref="K126">IF(Working!$A126="","",INDEX(Working!$A$2:INDEX(Working!$A:$A, MATCH("zzz", Working!$A:$A)), MOD(ROW()-ROW(K$2)+K$1, COUNTA(Working!$A$2:INDEX(Working!$A:$A, MATCH("zzz", Working!$A:$A)))) + 1))</f>
        <v/>
      </c>
      <c r="L126" t="str" cm="1">
        <f t="array" ref="L126">IF(Working!$A126="","",INDEX(Working!$A$2:INDEX(Working!$A:$A, MATCH("zzz", Working!$A:$A)), MOD(ROW()-ROW(L$2)+L$1, COUNTA(Working!$A$2:INDEX(Working!$A:$A, MATCH("zzz", Working!$A:$A)))) + 1))</f>
        <v/>
      </c>
    </row>
    <row r="127" spans="3:12" ht="15.75" customHeight="1" x14ac:dyDescent="0.2">
      <c r="C127" t="str" cm="1">
        <f t="array" ref="C127">IF(Working!$A127="","",INDEX(Working!$A$2:INDEX(Working!$A:$A, MATCH("zzz", Working!$A:$A)), MOD(ROW()-ROW(C$2)+C$1, COUNTA(Working!$A$2:INDEX(Working!$A:$A, MATCH("zzz", Working!$A:$A)))) + 1))</f>
        <v/>
      </c>
      <c r="D127" t="str" cm="1">
        <f t="array" ref="D127">IF(Working!$A127="","",INDEX(Working!$A$2:INDEX(Working!$A:$A, MATCH("zzz", Working!$A:$A)), MOD(ROW()-ROW(D$2)+D$1, COUNTA(Working!$A$2:INDEX(Working!$A:$A, MATCH("zzz", Working!$A:$A)))) + 1))</f>
        <v/>
      </c>
      <c r="E127" t="str" cm="1">
        <f t="array" ref="E127">IF(Working!$A127="","",INDEX(Working!$A$2:INDEX(Working!$A:$A, MATCH("zzz", Working!$A:$A)), MOD(ROW()-ROW(E$2)+E$1, COUNTA(Working!$A$2:INDEX(Working!$A:$A, MATCH("zzz", Working!$A:$A)))) + 1))</f>
        <v/>
      </c>
      <c r="F127" t="str" cm="1">
        <f t="array" ref="F127">IF(Working!$A127="","",INDEX(Working!$A$2:INDEX(Working!$A:$A, MATCH("zzz", Working!$A:$A)), MOD(ROW()-ROW(F$2)+F$1, COUNTA(Working!$A$2:INDEX(Working!$A:$A, MATCH("zzz", Working!$A:$A)))) + 1))</f>
        <v/>
      </c>
      <c r="G127" t="str" cm="1">
        <f t="array" ref="G127">IF(Working!$A127="","",INDEX(Working!$A$2:INDEX(Working!$A:$A, MATCH("zzz", Working!$A:$A)), MOD(ROW()-ROW(G$2)+G$1, COUNTA(Working!$A$2:INDEX(Working!$A:$A, MATCH("zzz", Working!$A:$A)))) + 1))</f>
        <v/>
      </c>
      <c r="H127" t="str" cm="1">
        <f t="array" ref="H127">IF(Working!$A127="","",INDEX(Working!$A$2:INDEX(Working!$A:$A, MATCH("zzz", Working!$A:$A)), MOD(ROW()-ROW(H$2)+H$1, COUNTA(Working!$A$2:INDEX(Working!$A:$A, MATCH("zzz", Working!$A:$A)))) + 1))</f>
        <v/>
      </c>
      <c r="I127" t="str" cm="1">
        <f t="array" ref="I127">IF(Working!$A127="","",INDEX(Working!$A$2:INDEX(Working!$A:$A, MATCH("zzz", Working!$A:$A)), MOD(ROW()-ROW(I$2)+I$1, COUNTA(Working!$A$2:INDEX(Working!$A:$A, MATCH("zzz", Working!$A:$A)))) + 1))</f>
        <v/>
      </c>
      <c r="J127" t="str" cm="1">
        <f t="array" ref="J127">IF(Working!$A127="","",INDEX(Working!$A$2:INDEX(Working!$A:$A, MATCH("zzz", Working!$A:$A)), MOD(ROW()-ROW(J$2)+J$1, COUNTA(Working!$A$2:INDEX(Working!$A:$A, MATCH("zzz", Working!$A:$A)))) + 1))</f>
        <v/>
      </c>
      <c r="K127" t="str" cm="1">
        <f t="array" ref="K127">IF(Working!$A127="","",INDEX(Working!$A$2:INDEX(Working!$A:$A, MATCH("zzz", Working!$A:$A)), MOD(ROW()-ROW(K$2)+K$1, COUNTA(Working!$A$2:INDEX(Working!$A:$A, MATCH("zzz", Working!$A:$A)))) + 1))</f>
        <v/>
      </c>
      <c r="L127" t="str" cm="1">
        <f t="array" ref="L127">IF(Working!$A127="","",INDEX(Working!$A$2:INDEX(Working!$A:$A, MATCH("zzz", Working!$A:$A)), MOD(ROW()-ROW(L$2)+L$1, COUNTA(Working!$A$2:INDEX(Working!$A:$A, MATCH("zzz", Working!$A:$A)))) + 1))</f>
        <v/>
      </c>
    </row>
    <row r="128" spans="3:12" ht="15.75" customHeight="1" x14ac:dyDescent="0.2">
      <c r="C128" t="str" cm="1">
        <f t="array" ref="C128">IF(Working!$A128="","",INDEX(Working!$A$2:INDEX(Working!$A:$A, MATCH("zzz", Working!$A:$A)), MOD(ROW()-ROW(C$2)+C$1, COUNTA(Working!$A$2:INDEX(Working!$A:$A, MATCH("zzz", Working!$A:$A)))) + 1))</f>
        <v/>
      </c>
      <c r="D128" t="str" cm="1">
        <f t="array" ref="D128">IF(Working!$A128="","",INDEX(Working!$A$2:INDEX(Working!$A:$A, MATCH("zzz", Working!$A:$A)), MOD(ROW()-ROW(D$2)+D$1, COUNTA(Working!$A$2:INDEX(Working!$A:$A, MATCH("zzz", Working!$A:$A)))) + 1))</f>
        <v/>
      </c>
      <c r="E128" t="str" cm="1">
        <f t="array" ref="E128">IF(Working!$A128="","",INDEX(Working!$A$2:INDEX(Working!$A:$A, MATCH("zzz", Working!$A:$A)), MOD(ROW()-ROW(E$2)+E$1, COUNTA(Working!$A$2:INDEX(Working!$A:$A, MATCH("zzz", Working!$A:$A)))) + 1))</f>
        <v/>
      </c>
      <c r="F128" t="str" cm="1">
        <f t="array" ref="F128">IF(Working!$A128="","",INDEX(Working!$A$2:INDEX(Working!$A:$A, MATCH("zzz", Working!$A:$A)), MOD(ROW()-ROW(F$2)+F$1, COUNTA(Working!$A$2:INDEX(Working!$A:$A, MATCH("zzz", Working!$A:$A)))) + 1))</f>
        <v/>
      </c>
      <c r="G128" t="str" cm="1">
        <f t="array" ref="G128">IF(Working!$A128="","",INDEX(Working!$A$2:INDEX(Working!$A:$A, MATCH("zzz", Working!$A:$A)), MOD(ROW()-ROW(G$2)+G$1, COUNTA(Working!$A$2:INDEX(Working!$A:$A, MATCH("zzz", Working!$A:$A)))) + 1))</f>
        <v/>
      </c>
      <c r="H128" t="str" cm="1">
        <f t="array" ref="H128">IF(Working!$A128="","",INDEX(Working!$A$2:INDEX(Working!$A:$A, MATCH("zzz", Working!$A:$A)), MOD(ROW()-ROW(H$2)+H$1, COUNTA(Working!$A$2:INDEX(Working!$A:$A, MATCH("zzz", Working!$A:$A)))) + 1))</f>
        <v/>
      </c>
      <c r="I128" t="str" cm="1">
        <f t="array" ref="I128">IF(Working!$A128="","",INDEX(Working!$A$2:INDEX(Working!$A:$A, MATCH("zzz", Working!$A:$A)), MOD(ROW()-ROW(I$2)+I$1, COUNTA(Working!$A$2:INDEX(Working!$A:$A, MATCH("zzz", Working!$A:$A)))) + 1))</f>
        <v/>
      </c>
      <c r="J128" t="str" cm="1">
        <f t="array" ref="J128">IF(Working!$A128="","",INDEX(Working!$A$2:INDEX(Working!$A:$A, MATCH("zzz", Working!$A:$A)), MOD(ROW()-ROW(J$2)+J$1, COUNTA(Working!$A$2:INDEX(Working!$A:$A, MATCH("zzz", Working!$A:$A)))) + 1))</f>
        <v/>
      </c>
      <c r="K128" t="str" cm="1">
        <f t="array" ref="K128">IF(Working!$A128="","",INDEX(Working!$A$2:INDEX(Working!$A:$A, MATCH("zzz", Working!$A:$A)), MOD(ROW()-ROW(K$2)+K$1, COUNTA(Working!$A$2:INDEX(Working!$A:$A, MATCH("zzz", Working!$A:$A)))) + 1))</f>
        <v/>
      </c>
      <c r="L128" t="str" cm="1">
        <f t="array" ref="L128">IF(Working!$A128="","",INDEX(Working!$A$2:INDEX(Working!$A:$A, MATCH("zzz", Working!$A:$A)), MOD(ROW()-ROW(L$2)+L$1, COUNTA(Working!$A$2:INDEX(Working!$A:$A, MATCH("zzz", Working!$A:$A)))) + 1))</f>
        <v/>
      </c>
    </row>
    <row r="129" spans="3:12" ht="15.75" customHeight="1" x14ac:dyDescent="0.2">
      <c r="C129" t="str" cm="1">
        <f t="array" ref="C129">IF(Working!$A129="","",INDEX(Working!$A$2:INDEX(Working!$A:$A, MATCH("zzz", Working!$A:$A)), MOD(ROW()-ROW(C$2)+C$1, COUNTA(Working!$A$2:INDEX(Working!$A:$A, MATCH("zzz", Working!$A:$A)))) + 1))</f>
        <v/>
      </c>
      <c r="D129" t="str" cm="1">
        <f t="array" ref="D129">IF(Working!$A129="","",INDEX(Working!$A$2:INDEX(Working!$A:$A, MATCH("zzz", Working!$A:$A)), MOD(ROW()-ROW(D$2)+D$1, COUNTA(Working!$A$2:INDEX(Working!$A:$A, MATCH("zzz", Working!$A:$A)))) + 1))</f>
        <v/>
      </c>
      <c r="E129" t="str" cm="1">
        <f t="array" ref="E129">IF(Working!$A129="","",INDEX(Working!$A$2:INDEX(Working!$A:$A, MATCH("zzz", Working!$A:$A)), MOD(ROW()-ROW(E$2)+E$1, COUNTA(Working!$A$2:INDEX(Working!$A:$A, MATCH("zzz", Working!$A:$A)))) + 1))</f>
        <v/>
      </c>
      <c r="F129" t="str" cm="1">
        <f t="array" ref="F129">IF(Working!$A129="","",INDEX(Working!$A$2:INDEX(Working!$A:$A, MATCH("zzz", Working!$A:$A)), MOD(ROW()-ROW(F$2)+F$1, COUNTA(Working!$A$2:INDEX(Working!$A:$A, MATCH("zzz", Working!$A:$A)))) + 1))</f>
        <v/>
      </c>
      <c r="G129" t="str" cm="1">
        <f t="array" ref="G129">IF(Working!$A129="","",INDEX(Working!$A$2:INDEX(Working!$A:$A, MATCH("zzz", Working!$A:$A)), MOD(ROW()-ROW(G$2)+G$1, COUNTA(Working!$A$2:INDEX(Working!$A:$A, MATCH("zzz", Working!$A:$A)))) + 1))</f>
        <v/>
      </c>
      <c r="H129" t="str" cm="1">
        <f t="array" ref="H129">IF(Working!$A129="","",INDEX(Working!$A$2:INDEX(Working!$A:$A, MATCH("zzz", Working!$A:$A)), MOD(ROW()-ROW(H$2)+H$1, COUNTA(Working!$A$2:INDEX(Working!$A:$A, MATCH("zzz", Working!$A:$A)))) + 1))</f>
        <v/>
      </c>
      <c r="I129" t="str" cm="1">
        <f t="array" ref="I129">IF(Working!$A129="","",INDEX(Working!$A$2:INDEX(Working!$A:$A, MATCH("zzz", Working!$A:$A)), MOD(ROW()-ROW(I$2)+I$1, COUNTA(Working!$A$2:INDEX(Working!$A:$A, MATCH("zzz", Working!$A:$A)))) + 1))</f>
        <v/>
      </c>
      <c r="J129" t="str" cm="1">
        <f t="array" ref="J129">IF(Working!$A129="","",INDEX(Working!$A$2:INDEX(Working!$A:$A, MATCH("zzz", Working!$A:$A)), MOD(ROW()-ROW(J$2)+J$1, COUNTA(Working!$A$2:INDEX(Working!$A:$A, MATCH("zzz", Working!$A:$A)))) + 1))</f>
        <v/>
      </c>
      <c r="K129" t="str" cm="1">
        <f t="array" ref="K129">IF(Working!$A129="","",INDEX(Working!$A$2:INDEX(Working!$A:$A, MATCH("zzz", Working!$A:$A)), MOD(ROW()-ROW(K$2)+K$1, COUNTA(Working!$A$2:INDEX(Working!$A:$A, MATCH("zzz", Working!$A:$A)))) + 1))</f>
        <v/>
      </c>
      <c r="L129" t="str" cm="1">
        <f t="array" ref="L129">IF(Working!$A129="","",INDEX(Working!$A$2:INDEX(Working!$A:$A, MATCH("zzz", Working!$A:$A)), MOD(ROW()-ROW(L$2)+L$1, COUNTA(Working!$A$2:INDEX(Working!$A:$A, MATCH("zzz", Working!$A:$A)))) + 1))</f>
        <v/>
      </c>
    </row>
    <row r="130" spans="3:12" ht="15.75" customHeight="1" x14ac:dyDescent="0.2">
      <c r="C130" t="str" cm="1">
        <f t="array" ref="C130">IF(Working!$A130="","",INDEX(Working!$A$2:INDEX(Working!$A:$A, MATCH("zzz", Working!$A:$A)), MOD(ROW()-ROW(C$2)+C$1, COUNTA(Working!$A$2:INDEX(Working!$A:$A, MATCH("zzz", Working!$A:$A)))) + 1))</f>
        <v/>
      </c>
      <c r="D130" t="str" cm="1">
        <f t="array" ref="D130">IF(Working!$A130="","",INDEX(Working!$A$2:INDEX(Working!$A:$A, MATCH("zzz", Working!$A:$A)), MOD(ROW()-ROW(D$2)+D$1, COUNTA(Working!$A$2:INDEX(Working!$A:$A, MATCH("zzz", Working!$A:$A)))) + 1))</f>
        <v/>
      </c>
      <c r="E130" t="str" cm="1">
        <f t="array" ref="E130">IF(Working!$A130="","",INDEX(Working!$A$2:INDEX(Working!$A:$A, MATCH("zzz", Working!$A:$A)), MOD(ROW()-ROW(E$2)+E$1, COUNTA(Working!$A$2:INDEX(Working!$A:$A, MATCH("zzz", Working!$A:$A)))) + 1))</f>
        <v/>
      </c>
      <c r="F130" t="str" cm="1">
        <f t="array" ref="F130">IF(Working!$A130="","",INDEX(Working!$A$2:INDEX(Working!$A:$A, MATCH("zzz", Working!$A:$A)), MOD(ROW()-ROW(F$2)+F$1, COUNTA(Working!$A$2:INDEX(Working!$A:$A, MATCH("zzz", Working!$A:$A)))) + 1))</f>
        <v/>
      </c>
      <c r="G130" t="str" cm="1">
        <f t="array" ref="G130">IF(Working!$A130="","",INDEX(Working!$A$2:INDEX(Working!$A:$A, MATCH("zzz", Working!$A:$A)), MOD(ROW()-ROW(G$2)+G$1, COUNTA(Working!$A$2:INDEX(Working!$A:$A, MATCH("zzz", Working!$A:$A)))) + 1))</f>
        <v/>
      </c>
      <c r="H130" t="str" cm="1">
        <f t="array" ref="H130">IF(Working!$A130="","",INDEX(Working!$A$2:INDEX(Working!$A:$A, MATCH("zzz", Working!$A:$A)), MOD(ROW()-ROW(H$2)+H$1, COUNTA(Working!$A$2:INDEX(Working!$A:$A, MATCH("zzz", Working!$A:$A)))) + 1))</f>
        <v/>
      </c>
      <c r="I130" t="str" cm="1">
        <f t="array" ref="I130">IF(Working!$A130="","",INDEX(Working!$A$2:INDEX(Working!$A:$A, MATCH("zzz", Working!$A:$A)), MOD(ROW()-ROW(I$2)+I$1, COUNTA(Working!$A$2:INDEX(Working!$A:$A, MATCH("zzz", Working!$A:$A)))) + 1))</f>
        <v/>
      </c>
      <c r="J130" t="str" cm="1">
        <f t="array" ref="J130">IF(Working!$A130="","",INDEX(Working!$A$2:INDEX(Working!$A:$A, MATCH("zzz", Working!$A:$A)), MOD(ROW()-ROW(J$2)+J$1, COUNTA(Working!$A$2:INDEX(Working!$A:$A, MATCH("zzz", Working!$A:$A)))) + 1))</f>
        <v/>
      </c>
      <c r="K130" t="str" cm="1">
        <f t="array" ref="K130">IF(Working!$A130="","",INDEX(Working!$A$2:INDEX(Working!$A:$A, MATCH("zzz", Working!$A:$A)), MOD(ROW()-ROW(K$2)+K$1, COUNTA(Working!$A$2:INDEX(Working!$A:$A, MATCH("zzz", Working!$A:$A)))) + 1))</f>
        <v/>
      </c>
      <c r="L130" t="str" cm="1">
        <f t="array" ref="L130">IF(Working!$A130="","",INDEX(Working!$A$2:INDEX(Working!$A:$A, MATCH("zzz", Working!$A:$A)), MOD(ROW()-ROW(L$2)+L$1, COUNTA(Working!$A$2:INDEX(Working!$A:$A, MATCH("zzz", Working!$A:$A)))) + 1))</f>
        <v/>
      </c>
    </row>
    <row r="131" spans="3:12" ht="15.75" customHeight="1" x14ac:dyDescent="0.2">
      <c r="C131" t="str" cm="1">
        <f t="array" ref="C131">IF(Working!$A131="","",INDEX(Working!$A$2:INDEX(Working!$A:$A, MATCH("zzz", Working!$A:$A)), MOD(ROW()-ROW(C$2)+C$1, COUNTA(Working!$A$2:INDEX(Working!$A:$A, MATCH("zzz", Working!$A:$A)))) + 1))</f>
        <v/>
      </c>
      <c r="D131" t="str" cm="1">
        <f t="array" ref="D131">IF(Working!$A131="","",INDEX(Working!$A$2:INDEX(Working!$A:$A, MATCH("zzz", Working!$A:$A)), MOD(ROW()-ROW(D$2)+D$1, COUNTA(Working!$A$2:INDEX(Working!$A:$A, MATCH("zzz", Working!$A:$A)))) + 1))</f>
        <v/>
      </c>
      <c r="E131" t="str" cm="1">
        <f t="array" ref="E131">IF(Working!$A131="","",INDEX(Working!$A$2:INDEX(Working!$A:$A, MATCH("zzz", Working!$A:$A)), MOD(ROW()-ROW(E$2)+E$1, COUNTA(Working!$A$2:INDEX(Working!$A:$A, MATCH("zzz", Working!$A:$A)))) + 1))</f>
        <v/>
      </c>
      <c r="F131" t="str" cm="1">
        <f t="array" ref="F131">IF(Working!$A131="","",INDEX(Working!$A$2:INDEX(Working!$A:$A, MATCH("zzz", Working!$A:$A)), MOD(ROW()-ROW(F$2)+F$1, COUNTA(Working!$A$2:INDEX(Working!$A:$A, MATCH("zzz", Working!$A:$A)))) + 1))</f>
        <v/>
      </c>
      <c r="G131" t="str" cm="1">
        <f t="array" ref="G131">IF(Working!$A131="","",INDEX(Working!$A$2:INDEX(Working!$A:$A, MATCH("zzz", Working!$A:$A)), MOD(ROW()-ROW(G$2)+G$1, COUNTA(Working!$A$2:INDEX(Working!$A:$A, MATCH("zzz", Working!$A:$A)))) + 1))</f>
        <v/>
      </c>
      <c r="H131" t="str" cm="1">
        <f t="array" ref="H131">IF(Working!$A131="","",INDEX(Working!$A$2:INDEX(Working!$A:$A, MATCH("zzz", Working!$A:$A)), MOD(ROW()-ROW(H$2)+H$1, COUNTA(Working!$A$2:INDEX(Working!$A:$A, MATCH("zzz", Working!$A:$A)))) + 1))</f>
        <v/>
      </c>
      <c r="I131" t="str" cm="1">
        <f t="array" ref="I131">IF(Working!$A131="","",INDEX(Working!$A$2:INDEX(Working!$A:$A, MATCH("zzz", Working!$A:$A)), MOD(ROW()-ROW(I$2)+I$1, COUNTA(Working!$A$2:INDEX(Working!$A:$A, MATCH("zzz", Working!$A:$A)))) + 1))</f>
        <v/>
      </c>
      <c r="J131" t="str" cm="1">
        <f t="array" ref="J131">IF(Working!$A131="","",INDEX(Working!$A$2:INDEX(Working!$A:$A, MATCH("zzz", Working!$A:$A)), MOD(ROW()-ROW(J$2)+J$1, COUNTA(Working!$A$2:INDEX(Working!$A:$A, MATCH("zzz", Working!$A:$A)))) + 1))</f>
        <v/>
      </c>
      <c r="K131" t="str" cm="1">
        <f t="array" ref="K131">IF(Working!$A131="","",INDEX(Working!$A$2:INDEX(Working!$A:$A, MATCH("zzz", Working!$A:$A)), MOD(ROW()-ROW(K$2)+K$1, COUNTA(Working!$A$2:INDEX(Working!$A:$A, MATCH("zzz", Working!$A:$A)))) + 1))</f>
        <v/>
      </c>
      <c r="L131" t="str" cm="1">
        <f t="array" ref="L131">IF(Working!$A131="","",INDEX(Working!$A$2:INDEX(Working!$A:$A, MATCH("zzz", Working!$A:$A)), MOD(ROW()-ROW(L$2)+L$1, COUNTA(Working!$A$2:INDEX(Working!$A:$A, MATCH("zzz", Working!$A:$A)))) + 1))</f>
        <v/>
      </c>
    </row>
    <row r="132" spans="3:12" ht="15.75" customHeight="1" x14ac:dyDescent="0.2">
      <c r="C132" t="str" cm="1">
        <f t="array" ref="C132">IF(Working!$A132="","",INDEX(Working!$A$2:INDEX(Working!$A:$A, MATCH("zzz", Working!$A:$A)), MOD(ROW()-ROW(C$2)+C$1, COUNTA(Working!$A$2:INDEX(Working!$A:$A, MATCH("zzz", Working!$A:$A)))) + 1))</f>
        <v/>
      </c>
      <c r="D132" t="str" cm="1">
        <f t="array" ref="D132">IF(Working!$A132="","",INDEX(Working!$A$2:INDEX(Working!$A:$A, MATCH("zzz", Working!$A:$A)), MOD(ROW()-ROW(D$2)+D$1, COUNTA(Working!$A$2:INDEX(Working!$A:$A, MATCH("zzz", Working!$A:$A)))) + 1))</f>
        <v/>
      </c>
      <c r="E132" t="str" cm="1">
        <f t="array" ref="E132">IF(Working!$A132="","",INDEX(Working!$A$2:INDEX(Working!$A:$A, MATCH("zzz", Working!$A:$A)), MOD(ROW()-ROW(E$2)+E$1, COUNTA(Working!$A$2:INDEX(Working!$A:$A, MATCH("zzz", Working!$A:$A)))) + 1))</f>
        <v/>
      </c>
      <c r="F132" t="str" cm="1">
        <f t="array" ref="F132">IF(Working!$A132="","",INDEX(Working!$A$2:INDEX(Working!$A:$A, MATCH("zzz", Working!$A:$A)), MOD(ROW()-ROW(F$2)+F$1, COUNTA(Working!$A$2:INDEX(Working!$A:$A, MATCH("zzz", Working!$A:$A)))) + 1))</f>
        <v/>
      </c>
      <c r="G132" t="str" cm="1">
        <f t="array" ref="G132">IF(Working!$A132="","",INDEX(Working!$A$2:INDEX(Working!$A:$A, MATCH("zzz", Working!$A:$A)), MOD(ROW()-ROW(G$2)+G$1, COUNTA(Working!$A$2:INDEX(Working!$A:$A, MATCH("zzz", Working!$A:$A)))) + 1))</f>
        <v/>
      </c>
      <c r="H132" t="str" cm="1">
        <f t="array" ref="H132">IF(Working!$A132="","",INDEX(Working!$A$2:INDEX(Working!$A:$A, MATCH("zzz", Working!$A:$A)), MOD(ROW()-ROW(H$2)+H$1, COUNTA(Working!$A$2:INDEX(Working!$A:$A, MATCH("zzz", Working!$A:$A)))) + 1))</f>
        <v/>
      </c>
      <c r="I132" t="str" cm="1">
        <f t="array" ref="I132">IF(Working!$A132="","",INDEX(Working!$A$2:INDEX(Working!$A:$A, MATCH("zzz", Working!$A:$A)), MOD(ROW()-ROW(I$2)+I$1, COUNTA(Working!$A$2:INDEX(Working!$A:$A, MATCH("zzz", Working!$A:$A)))) + 1))</f>
        <v/>
      </c>
      <c r="J132" t="str" cm="1">
        <f t="array" ref="J132">IF(Working!$A132="","",INDEX(Working!$A$2:INDEX(Working!$A:$A, MATCH("zzz", Working!$A:$A)), MOD(ROW()-ROW(J$2)+J$1, COUNTA(Working!$A$2:INDEX(Working!$A:$A, MATCH("zzz", Working!$A:$A)))) + 1))</f>
        <v/>
      </c>
      <c r="K132" t="str" cm="1">
        <f t="array" ref="K132">IF(Working!$A132="","",INDEX(Working!$A$2:INDEX(Working!$A:$A, MATCH("zzz", Working!$A:$A)), MOD(ROW()-ROW(K$2)+K$1, COUNTA(Working!$A$2:INDEX(Working!$A:$A, MATCH("zzz", Working!$A:$A)))) + 1))</f>
        <v/>
      </c>
      <c r="L132" t="str" cm="1">
        <f t="array" ref="L132">IF(Working!$A132="","",INDEX(Working!$A$2:INDEX(Working!$A:$A, MATCH("zzz", Working!$A:$A)), MOD(ROW()-ROW(L$2)+L$1, COUNTA(Working!$A$2:INDEX(Working!$A:$A, MATCH("zzz", Working!$A:$A)))) + 1))</f>
        <v/>
      </c>
    </row>
    <row r="133" spans="3:12" ht="15.75" customHeight="1" x14ac:dyDescent="0.2">
      <c r="C133" t="str" cm="1">
        <f t="array" ref="C133">IF(Working!$A133="","",INDEX(Working!$A$2:INDEX(Working!$A:$A, MATCH("zzz", Working!$A:$A)), MOD(ROW()-ROW(C$2)+C$1, COUNTA(Working!$A$2:INDEX(Working!$A:$A, MATCH("zzz", Working!$A:$A)))) + 1))</f>
        <v/>
      </c>
      <c r="D133" t="str" cm="1">
        <f t="array" ref="D133">IF(Working!$A133="","",INDEX(Working!$A$2:INDEX(Working!$A:$A, MATCH("zzz", Working!$A:$A)), MOD(ROW()-ROW(D$2)+D$1, COUNTA(Working!$A$2:INDEX(Working!$A:$A, MATCH("zzz", Working!$A:$A)))) + 1))</f>
        <v/>
      </c>
      <c r="E133" t="str" cm="1">
        <f t="array" ref="E133">IF(Working!$A133="","",INDEX(Working!$A$2:INDEX(Working!$A:$A, MATCH("zzz", Working!$A:$A)), MOD(ROW()-ROW(E$2)+E$1, COUNTA(Working!$A$2:INDEX(Working!$A:$A, MATCH("zzz", Working!$A:$A)))) + 1))</f>
        <v/>
      </c>
      <c r="F133" t="str" cm="1">
        <f t="array" ref="F133">IF(Working!$A133="","",INDEX(Working!$A$2:INDEX(Working!$A:$A, MATCH("zzz", Working!$A:$A)), MOD(ROW()-ROW(F$2)+F$1, COUNTA(Working!$A$2:INDEX(Working!$A:$A, MATCH("zzz", Working!$A:$A)))) + 1))</f>
        <v/>
      </c>
      <c r="G133" t="str" cm="1">
        <f t="array" ref="G133">IF(Working!$A133="","",INDEX(Working!$A$2:INDEX(Working!$A:$A, MATCH("zzz", Working!$A:$A)), MOD(ROW()-ROW(G$2)+G$1, COUNTA(Working!$A$2:INDEX(Working!$A:$A, MATCH("zzz", Working!$A:$A)))) + 1))</f>
        <v/>
      </c>
      <c r="H133" t="str" cm="1">
        <f t="array" ref="H133">IF(Working!$A133="","",INDEX(Working!$A$2:INDEX(Working!$A:$A, MATCH("zzz", Working!$A:$A)), MOD(ROW()-ROW(H$2)+H$1, COUNTA(Working!$A$2:INDEX(Working!$A:$A, MATCH("zzz", Working!$A:$A)))) + 1))</f>
        <v/>
      </c>
      <c r="I133" t="str" cm="1">
        <f t="array" ref="I133">IF(Working!$A133="","",INDEX(Working!$A$2:INDEX(Working!$A:$A, MATCH("zzz", Working!$A:$A)), MOD(ROW()-ROW(I$2)+I$1, COUNTA(Working!$A$2:INDEX(Working!$A:$A, MATCH("zzz", Working!$A:$A)))) + 1))</f>
        <v/>
      </c>
      <c r="J133" t="str" cm="1">
        <f t="array" ref="J133">IF(Working!$A133="","",INDEX(Working!$A$2:INDEX(Working!$A:$A, MATCH("zzz", Working!$A:$A)), MOD(ROW()-ROW(J$2)+J$1, COUNTA(Working!$A$2:INDEX(Working!$A:$A, MATCH("zzz", Working!$A:$A)))) + 1))</f>
        <v/>
      </c>
      <c r="K133" t="str" cm="1">
        <f t="array" ref="K133">IF(Working!$A133="","",INDEX(Working!$A$2:INDEX(Working!$A:$A, MATCH("zzz", Working!$A:$A)), MOD(ROW()-ROW(K$2)+K$1, COUNTA(Working!$A$2:INDEX(Working!$A:$A, MATCH("zzz", Working!$A:$A)))) + 1))</f>
        <v/>
      </c>
      <c r="L133" t="str" cm="1">
        <f t="array" ref="L133">IF(Working!$A133="","",INDEX(Working!$A$2:INDEX(Working!$A:$A, MATCH("zzz", Working!$A:$A)), MOD(ROW()-ROW(L$2)+L$1, COUNTA(Working!$A$2:INDEX(Working!$A:$A, MATCH("zzz", Working!$A:$A)))) + 1))</f>
        <v/>
      </c>
    </row>
    <row r="134" spans="3:12" ht="15.75" customHeight="1" x14ac:dyDescent="0.2">
      <c r="C134" t="str" cm="1">
        <f t="array" ref="C134">IF(Working!$A134="","",INDEX(Working!$A$2:INDEX(Working!$A:$A, MATCH("zzz", Working!$A:$A)), MOD(ROW()-ROW(C$2)+C$1, COUNTA(Working!$A$2:INDEX(Working!$A:$A, MATCH("zzz", Working!$A:$A)))) + 1))</f>
        <v/>
      </c>
      <c r="D134" t="str" cm="1">
        <f t="array" ref="D134">IF(Working!$A134="","",INDEX(Working!$A$2:INDEX(Working!$A:$A, MATCH("zzz", Working!$A:$A)), MOD(ROW()-ROW(D$2)+D$1, COUNTA(Working!$A$2:INDEX(Working!$A:$A, MATCH("zzz", Working!$A:$A)))) + 1))</f>
        <v/>
      </c>
      <c r="E134" t="str" cm="1">
        <f t="array" ref="E134">IF(Working!$A134="","",INDEX(Working!$A$2:INDEX(Working!$A:$A, MATCH("zzz", Working!$A:$A)), MOD(ROW()-ROW(E$2)+E$1, COUNTA(Working!$A$2:INDEX(Working!$A:$A, MATCH("zzz", Working!$A:$A)))) + 1))</f>
        <v/>
      </c>
      <c r="F134" t="str" cm="1">
        <f t="array" ref="F134">IF(Working!$A134="","",INDEX(Working!$A$2:INDEX(Working!$A:$A, MATCH("zzz", Working!$A:$A)), MOD(ROW()-ROW(F$2)+F$1, COUNTA(Working!$A$2:INDEX(Working!$A:$A, MATCH("zzz", Working!$A:$A)))) + 1))</f>
        <v/>
      </c>
      <c r="G134" t="str" cm="1">
        <f t="array" ref="G134">IF(Working!$A134="","",INDEX(Working!$A$2:INDEX(Working!$A:$A, MATCH("zzz", Working!$A:$A)), MOD(ROW()-ROW(G$2)+G$1, COUNTA(Working!$A$2:INDEX(Working!$A:$A, MATCH("zzz", Working!$A:$A)))) + 1))</f>
        <v/>
      </c>
      <c r="H134" t="str" cm="1">
        <f t="array" ref="H134">IF(Working!$A134="","",INDEX(Working!$A$2:INDEX(Working!$A:$A, MATCH("zzz", Working!$A:$A)), MOD(ROW()-ROW(H$2)+H$1, COUNTA(Working!$A$2:INDEX(Working!$A:$A, MATCH("zzz", Working!$A:$A)))) + 1))</f>
        <v/>
      </c>
      <c r="I134" t="str" cm="1">
        <f t="array" ref="I134">IF(Working!$A134="","",INDEX(Working!$A$2:INDEX(Working!$A:$A, MATCH("zzz", Working!$A:$A)), MOD(ROW()-ROW(I$2)+I$1, COUNTA(Working!$A$2:INDEX(Working!$A:$A, MATCH("zzz", Working!$A:$A)))) + 1))</f>
        <v/>
      </c>
      <c r="J134" t="str" cm="1">
        <f t="array" ref="J134">IF(Working!$A134="","",INDEX(Working!$A$2:INDEX(Working!$A:$A, MATCH("zzz", Working!$A:$A)), MOD(ROW()-ROW(J$2)+J$1, COUNTA(Working!$A$2:INDEX(Working!$A:$A, MATCH("zzz", Working!$A:$A)))) + 1))</f>
        <v/>
      </c>
      <c r="K134" t="str" cm="1">
        <f t="array" ref="K134">IF(Working!$A134="","",INDEX(Working!$A$2:INDEX(Working!$A:$A, MATCH("zzz", Working!$A:$A)), MOD(ROW()-ROW(K$2)+K$1, COUNTA(Working!$A$2:INDEX(Working!$A:$A, MATCH("zzz", Working!$A:$A)))) + 1))</f>
        <v/>
      </c>
      <c r="L134" t="str" cm="1">
        <f t="array" ref="L134">IF(Working!$A134="","",INDEX(Working!$A$2:INDEX(Working!$A:$A, MATCH("zzz", Working!$A:$A)), MOD(ROW()-ROW(L$2)+L$1, COUNTA(Working!$A$2:INDEX(Working!$A:$A, MATCH("zzz", Working!$A:$A)))) + 1))</f>
        <v/>
      </c>
    </row>
    <row r="135" spans="3:12" ht="15.75" customHeight="1" x14ac:dyDescent="0.2">
      <c r="C135" t="str" cm="1">
        <f t="array" ref="C135">IF(Working!$A135="","",INDEX(Working!$A$2:INDEX(Working!$A:$A, MATCH("zzz", Working!$A:$A)), MOD(ROW()-ROW(C$2)+C$1, COUNTA(Working!$A$2:INDEX(Working!$A:$A, MATCH("zzz", Working!$A:$A)))) + 1))</f>
        <v/>
      </c>
      <c r="D135" t="str" cm="1">
        <f t="array" ref="D135">IF(Working!$A135="","",INDEX(Working!$A$2:INDEX(Working!$A:$A, MATCH("zzz", Working!$A:$A)), MOD(ROW()-ROW(D$2)+D$1, COUNTA(Working!$A$2:INDEX(Working!$A:$A, MATCH("zzz", Working!$A:$A)))) + 1))</f>
        <v/>
      </c>
      <c r="E135" t="str" cm="1">
        <f t="array" ref="E135">IF(Working!$A135="","",INDEX(Working!$A$2:INDEX(Working!$A:$A, MATCH("zzz", Working!$A:$A)), MOD(ROW()-ROW(E$2)+E$1, COUNTA(Working!$A$2:INDEX(Working!$A:$A, MATCH("zzz", Working!$A:$A)))) + 1))</f>
        <v/>
      </c>
      <c r="F135" t="str" cm="1">
        <f t="array" ref="F135">IF(Working!$A135="","",INDEX(Working!$A$2:INDEX(Working!$A:$A, MATCH("zzz", Working!$A:$A)), MOD(ROW()-ROW(F$2)+F$1, COUNTA(Working!$A$2:INDEX(Working!$A:$A, MATCH("zzz", Working!$A:$A)))) + 1))</f>
        <v/>
      </c>
      <c r="G135" t="str" cm="1">
        <f t="array" ref="G135">IF(Working!$A135="","",INDEX(Working!$A$2:INDEX(Working!$A:$A, MATCH("zzz", Working!$A:$A)), MOD(ROW()-ROW(G$2)+G$1, COUNTA(Working!$A$2:INDEX(Working!$A:$A, MATCH("zzz", Working!$A:$A)))) + 1))</f>
        <v/>
      </c>
      <c r="H135" t="str" cm="1">
        <f t="array" ref="H135">IF(Working!$A135="","",INDEX(Working!$A$2:INDEX(Working!$A:$A, MATCH("zzz", Working!$A:$A)), MOD(ROW()-ROW(H$2)+H$1, COUNTA(Working!$A$2:INDEX(Working!$A:$A, MATCH("zzz", Working!$A:$A)))) + 1))</f>
        <v/>
      </c>
      <c r="I135" t="str" cm="1">
        <f t="array" ref="I135">IF(Working!$A135="","",INDEX(Working!$A$2:INDEX(Working!$A:$A, MATCH("zzz", Working!$A:$A)), MOD(ROW()-ROW(I$2)+I$1, COUNTA(Working!$A$2:INDEX(Working!$A:$A, MATCH("zzz", Working!$A:$A)))) + 1))</f>
        <v/>
      </c>
      <c r="J135" t="str" cm="1">
        <f t="array" ref="J135">IF(Working!$A135="","",INDEX(Working!$A$2:INDEX(Working!$A:$A, MATCH("zzz", Working!$A:$A)), MOD(ROW()-ROW(J$2)+J$1, COUNTA(Working!$A$2:INDEX(Working!$A:$A, MATCH("zzz", Working!$A:$A)))) + 1))</f>
        <v/>
      </c>
      <c r="K135" t="str" cm="1">
        <f t="array" ref="K135">IF(Working!$A135="","",INDEX(Working!$A$2:INDEX(Working!$A:$A, MATCH("zzz", Working!$A:$A)), MOD(ROW()-ROW(K$2)+K$1, COUNTA(Working!$A$2:INDEX(Working!$A:$A, MATCH("zzz", Working!$A:$A)))) + 1))</f>
        <v/>
      </c>
      <c r="L135" t="str" cm="1">
        <f t="array" ref="L135">IF(Working!$A135="","",INDEX(Working!$A$2:INDEX(Working!$A:$A, MATCH("zzz", Working!$A:$A)), MOD(ROW()-ROW(L$2)+L$1, COUNTA(Working!$A$2:INDEX(Working!$A:$A, MATCH("zzz", Working!$A:$A)))) + 1))</f>
        <v/>
      </c>
    </row>
    <row r="136" spans="3:12" ht="15.75" customHeight="1" x14ac:dyDescent="0.2">
      <c r="C136" t="str" cm="1">
        <f t="array" ref="C136">IF(Working!$A136="","",INDEX(Working!$A$2:INDEX(Working!$A:$A, MATCH("zzz", Working!$A:$A)), MOD(ROW()-ROW(C$2)+C$1, COUNTA(Working!$A$2:INDEX(Working!$A:$A, MATCH("zzz", Working!$A:$A)))) + 1))</f>
        <v/>
      </c>
      <c r="D136" t="str" cm="1">
        <f t="array" ref="D136">IF(Working!$A136="","",INDEX(Working!$A$2:INDEX(Working!$A:$A, MATCH("zzz", Working!$A:$A)), MOD(ROW()-ROW(D$2)+D$1, COUNTA(Working!$A$2:INDEX(Working!$A:$A, MATCH("zzz", Working!$A:$A)))) + 1))</f>
        <v/>
      </c>
      <c r="E136" t="str" cm="1">
        <f t="array" ref="E136">IF(Working!$A136="","",INDEX(Working!$A$2:INDEX(Working!$A:$A, MATCH("zzz", Working!$A:$A)), MOD(ROW()-ROW(E$2)+E$1, COUNTA(Working!$A$2:INDEX(Working!$A:$A, MATCH("zzz", Working!$A:$A)))) + 1))</f>
        <v/>
      </c>
      <c r="F136" t="str" cm="1">
        <f t="array" ref="F136">IF(Working!$A136="","",INDEX(Working!$A$2:INDEX(Working!$A:$A, MATCH("zzz", Working!$A:$A)), MOD(ROW()-ROW(F$2)+F$1, COUNTA(Working!$A$2:INDEX(Working!$A:$A, MATCH("zzz", Working!$A:$A)))) + 1))</f>
        <v/>
      </c>
      <c r="G136" t="str" cm="1">
        <f t="array" ref="G136">IF(Working!$A136="","",INDEX(Working!$A$2:INDEX(Working!$A:$A, MATCH("zzz", Working!$A:$A)), MOD(ROW()-ROW(G$2)+G$1, COUNTA(Working!$A$2:INDEX(Working!$A:$A, MATCH("zzz", Working!$A:$A)))) + 1))</f>
        <v/>
      </c>
      <c r="H136" t="str" cm="1">
        <f t="array" ref="H136">IF(Working!$A136="","",INDEX(Working!$A$2:INDEX(Working!$A:$A, MATCH("zzz", Working!$A:$A)), MOD(ROW()-ROW(H$2)+H$1, COUNTA(Working!$A$2:INDEX(Working!$A:$A, MATCH("zzz", Working!$A:$A)))) + 1))</f>
        <v/>
      </c>
      <c r="I136" t="str" cm="1">
        <f t="array" ref="I136">IF(Working!$A136="","",INDEX(Working!$A$2:INDEX(Working!$A:$A, MATCH("zzz", Working!$A:$A)), MOD(ROW()-ROW(I$2)+I$1, COUNTA(Working!$A$2:INDEX(Working!$A:$A, MATCH("zzz", Working!$A:$A)))) + 1))</f>
        <v/>
      </c>
      <c r="J136" t="str" cm="1">
        <f t="array" ref="J136">IF(Working!$A136="","",INDEX(Working!$A$2:INDEX(Working!$A:$A, MATCH("zzz", Working!$A:$A)), MOD(ROW()-ROW(J$2)+J$1, COUNTA(Working!$A$2:INDEX(Working!$A:$A, MATCH("zzz", Working!$A:$A)))) + 1))</f>
        <v/>
      </c>
      <c r="K136" t="str" cm="1">
        <f t="array" ref="K136">IF(Working!$A136="","",INDEX(Working!$A$2:INDEX(Working!$A:$A, MATCH("zzz", Working!$A:$A)), MOD(ROW()-ROW(K$2)+K$1, COUNTA(Working!$A$2:INDEX(Working!$A:$A, MATCH("zzz", Working!$A:$A)))) + 1))</f>
        <v/>
      </c>
      <c r="L136" t="str" cm="1">
        <f t="array" ref="L136">IF(Working!$A136="","",INDEX(Working!$A$2:INDEX(Working!$A:$A, MATCH("zzz", Working!$A:$A)), MOD(ROW()-ROW(L$2)+L$1, COUNTA(Working!$A$2:INDEX(Working!$A:$A, MATCH("zzz", Working!$A:$A)))) + 1))</f>
        <v/>
      </c>
    </row>
    <row r="137" spans="3:12" ht="15.75" customHeight="1" x14ac:dyDescent="0.2">
      <c r="C137" t="str" cm="1">
        <f t="array" ref="C137">IF(Working!$A137="","",INDEX(Working!$A$2:INDEX(Working!$A:$A, MATCH("zzz", Working!$A:$A)), MOD(ROW()-ROW(C$2)+C$1, COUNTA(Working!$A$2:INDEX(Working!$A:$A, MATCH("zzz", Working!$A:$A)))) + 1))</f>
        <v/>
      </c>
      <c r="D137" t="str" cm="1">
        <f t="array" ref="D137">IF(Working!$A137="","",INDEX(Working!$A$2:INDEX(Working!$A:$A, MATCH("zzz", Working!$A:$A)), MOD(ROW()-ROW(D$2)+D$1, COUNTA(Working!$A$2:INDEX(Working!$A:$A, MATCH("zzz", Working!$A:$A)))) + 1))</f>
        <v/>
      </c>
      <c r="E137" t="str" cm="1">
        <f t="array" ref="E137">IF(Working!$A137="","",INDEX(Working!$A$2:INDEX(Working!$A:$A, MATCH("zzz", Working!$A:$A)), MOD(ROW()-ROW(E$2)+E$1, COUNTA(Working!$A$2:INDEX(Working!$A:$A, MATCH("zzz", Working!$A:$A)))) + 1))</f>
        <v/>
      </c>
      <c r="F137" t="str" cm="1">
        <f t="array" ref="F137">IF(Working!$A137="","",INDEX(Working!$A$2:INDEX(Working!$A:$A, MATCH("zzz", Working!$A:$A)), MOD(ROW()-ROW(F$2)+F$1, COUNTA(Working!$A$2:INDEX(Working!$A:$A, MATCH("zzz", Working!$A:$A)))) + 1))</f>
        <v/>
      </c>
      <c r="G137" t="str" cm="1">
        <f t="array" ref="G137">IF(Working!$A137="","",INDEX(Working!$A$2:INDEX(Working!$A:$A, MATCH("zzz", Working!$A:$A)), MOD(ROW()-ROW(G$2)+G$1, COUNTA(Working!$A$2:INDEX(Working!$A:$A, MATCH("zzz", Working!$A:$A)))) + 1))</f>
        <v/>
      </c>
      <c r="H137" t="str" cm="1">
        <f t="array" ref="H137">IF(Working!$A137="","",INDEX(Working!$A$2:INDEX(Working!$A:$A, MATCH("zzz", Working!$A:$A)), MOD(ROW()-ROW(H$2)+H$1, COUNTA(Working!$A$2:INDEX(Working!$A:$A, MATCH("zzz", Working!$A:$A)))) + 1))</f>
        <v/>
      </c>
      <c r="I137" t="str" cm="1">
        <f t="array" ref="I137">IF(Working!$A137="","",INDEX(Working!$A$2:INDEX(Working!$A:$A, MATCH("zzz", Working!$A:$A)), MOD(ROW()-ROW(I$2)+I$1, COUNTA(Working!$A$2:INDEX(Working!$A:$A, MATCH("zzz", Working!$A:$A)))) + 1))</f>
        <v/>
      </c>
      <c r="J137" t="str" cm="1">
        <f t="array" ref="J137">IF(Working!$A137="","",INDEX(Working!$A$2:INDEX(Working!$A:$A, MATCH("zzz", Working!$A:$A)), MOD(ROW()-ROW(J$2)+J$1, COUNTA(Working!$A$2:INDEX(Working!$A:$A, MATCH("zzz", Working!$A:$A)))) + 1))</f>
        <v/>
      </c>
      <c r="K137" t="str" cm="1">
        <f t="array" ref="K137">IF(Working!$A137="","",INDEX(Working!$A$2:INDEX(Working!$A:$A, MATCH("zzz", Working!$A:$A)), MOD(ROW()-ROW(K$2)+K$1, COUNTA(Working!$A$2:INDEX(Working!$A:$A, MATCH("zzz", Working!$A:$A)))) + 1))</f>
        <v/>
      </c>
      <c r="L137" t="str" cm="1">
        <f t="array" ref="L137">IF(Working!$A137="","",INDEX(Working!$A$2:INDEX(Working!$A:$A, MATCH("zzz", Working!$A:$A)), MOD(ROW()-ROW(L$2)+L$1, COUNTA(Working!$A$2:INDEX(Working!$A:$A, MATCH("zzz", Working!$A:$A)))) + 1))</f>
        <v/>
      </c>
    </row>
    <row r="138" spans="3:12" ht="15.75" customHeight="1" x14ac:dyDescent="0.2">
      <c r="C138" t="str" cm="1">
        <f t="array" ref="C138">IF(Working!$A138="","",INDEX(Working!$A$2:INDEX(Working!$A:$A, MATCH("zzz", Working!$A:$A)), MOD(ROW()-ROW(C$2)+C$1, COUNTA(Working!$A$2:INDEX(Working!$A:$A, MATCH("zzz", Working!$A:$A)))) + 1))</f>
        <v/>
      </c>
      <c r="D138" t="str" cm="1">
        <f t="array" ref="D138">IF(Working!$A138="","",INDEX(Working!$A$2:INDEX(Working!$A:$A, MATCH("zzz", Working!$A:$A)), MOD(ROW()-ROW(D$2)+D$1, COUNTA(Working!$A$2:INDEX(Working!$A:$A, MATCH("zzz", Working!$A:$A)))) + 1))</f>
        <v/>
      </c>
      <c r="E138" t="str" cm="1">
        <f t="array" ref="E138">IF(Working!$A138="","",INDEX(Working!$A$2:INDEX(Working!$A:$A, MATCH("zzz", Working!$A:$A)), MOD(ROW()-ROW(E$2)+E$1, COUNTA(Working!$A$2:INDEX(Working!$A:$A, MATCH("zzz", Working!$A:$A)))) + 1))</f>
        <v/>
      </c>
      <c r="F138" t="str" cm="1">
        <f t="array" ref="F138">IF(Working!$A138="","",INDEX(Working!$A$2:INDEX(Working!$A:$A, MATCH("zzz", Working!$A:$A)), MOD(ROW()-ROW(F$2)+F$1, COUNTA(Working!$A$2:INDEX(Working!$A:$A, MATCH("zzz", Working!$A:$A)))) + 1))</f>
        <v/>
      </c>
      <c r="G138" t="str" cm="1">
        <f t="array" ref="G138">IF(Working!$A138="","",INDEX(Working!$A$2:INDEX(Working!$A:$A, MATCH("zzz", Working!$A:$A)), MOD(ROW()-ROW(G$2)+G$1, COUNTA(Working!$A$2:INDEX(Working!$A:$A, MATCH("zzz", Working!$A:$A)))) + 1))</f>
        <v/>
      </c>
      <c r="H138" t="str" cm="1">
        <f t="array" ref="H138">IF(Working!$A138="","",INDEX(Working!$A$2:INDEX(Working!$A:$A, MATCH("zzz", Working!$A:$A)), MOD(ROW()-ROW(H$2)+H$1, COUNTA(Working!$A$2:INDEX(Working!$A:$A, MATCH("zzz", Working!$A:$A)))) + 1))</f>
        <v/>
      </c>
      <c r="I138" t="str" cm="1">
        <f t="array" ref="I138">IF(Working!$A138="","",INDEX(Working!$A$2:INDEX(Working!$A:$A, MATCH("zzz", Working!$A:$A)), MOD(ROW()-ROW(I$2)+I$1, COUNTA(Working!$A$2:INDEX(Working!$A:$A, MATCH("zzz", Working!$A:$A)))) + 1))</f>
        <v/>
      </c>
      <c r="J138" t="str" cm="1">
        <f t="array" ref="J138">IF(Working!$A138="","",INDEX(Working!$A$2:INDEX(Working!$A:$A, MATCH("zzz", Working!$A:$A)), MOD(ROW()-ROW(J$2)+J$1, COUNTA(Working!$A$2:INDEX(Working!$A:$A, MATCH("zzz", Working!$A:$A)))) + 1))</f>
        <v/>
      </c>
      <c r="K138" t="str" cm="1">
        <f t="array" ref="K138">IF(Working!$A138="","",INDEX(Working!$A$2:INDEX(Working!$A:$A, MATCH("zzz", Working!$A:$A)), MOD(ROW()-ROW(K$2)+K$1, COUNTA(Working!$A$2:INDEX(Working!$A:$A, MATCH("zzz", Working!$A:$A)))) + 1))</f>
        <v/>
      </c>
      <c r="L138" t="str" cm="1">
        <f t="array" ref="L138">IF(Working!$A138="","",INDEX(Working!$A$2:INDEX(Working!$A:$A, MATCH("zzz", Working!$A:$A)), MOD(ROW()-ROW(L$2)+L$1, COUNTA(Working!$A$2:INDEX(Working!$A:$A, MATCH("zzz", Working!$A:$A)))) + 1))</f>
        <v/>
      </c>
    </row>
    <row r="139" spans="3:12" ht="15.75" customHeight="1" x14ac:dyDescent="0.2">
      <c r="C139" t="str" cm="1">
        <f t="array" ref="C139">IF(Working!$A139="","",INDEX(Working!$A$2:INDEX(Working!$A:$A, MATCH("zzz", Working!$A:$A)), MOD(ROW()-ROW(C$2)+C$1, COUNTA(Working!$A$2:INDEX(Working!$A:$A, MATCH("zzz", Working!$A:$A)))) + 1))</f>
        <v/>
      </c>
      <c r="D139" t="str" cm="1">
        <f t="array" ref="D139">IF(Working!$A139="","",INDEX(Working!$A$2:INDEX(Working!$A:$A, MATCH("zzz", Working!$A:$A)), MOD(ROW()-ROW(D$2)+D$1, COUNTA(Working!$A$2:INDEX(Working!$A:$A, MATCH("zzz", Working!$A:$A)))) + 1))</f>
        <v/>
      </c>
      <c r="E139" t="str" cm="1">
        <f t="array" ref="E139">IF(Working!$A139="","",INDEX(Working!$A$2:INDEX(Working!$A:$A, MATCH("zzz", Working!$A:$A)), MOD(ROW()-ROW(E$2)+E$1, COUNTA(Working!$A$2:INDEX(Working!$A:$A, MATCH("zzz", Working!$A:$A)))) + 1))</f>
        <v/>
      </c>
      <c r="F139" t="str" cm="1">
        <f t="array" ref="F139">IF(Working!$A139="","",INDEX(Working!$A$2:INDEX(Working!$A:$A, MATCH("zzz", Working!$A:$A)), MOD(ROW()-ROW(F$2)+F$1, COUNTA(Working!$A$2:INDEX(Working!$A:$A, MATCH("zzz", Working!$A:$A)))) + 1))</f>
        <v/>
      </c>
      <c r="G139" t="str" cm="1">
        <f t="array" ref="G139">IF(Working!$A139="","",INDEX(Working!$A$2:INDEX(Working!$A:$A, MATCH("zzz", Working!$A:$A)), MOD(ROW()-ROW(G$2)+G$1, COUNTA(Working!$A$2:INDEX(Working!$A:$A, MATCH("zzz", Working!$A:$A)))) + 1))</f>
        <v/>
      </c>
      <c r="H139" t="str" cm="1">
        <f t="array" ref="H139">IF(Working!$A139="","",INDEX(Working!$A$2:INDEX(Working!$A:$A, MATCH("zzz", Working!$A:$A)), MOD(ROW()-ROW(H$2)+H$1, COUNTA(Working!$A$2:INDEX(Working!$A:$A, MATCH("zzz", Working!$A:$A)))) + 1))</f>
        <v/>
      </c>
      <c r="I139" t="str" cm="1">
        <f t="array" ref="I139">IF(Working!$A139="","",INDEX(Working!$A$2:INDEX(Working!$A:$A, MATCH("zzz", Working!$A:$A)), MOD(ROW()-ROW(I$2)+I$1, COUNTA(Working!$A$2:INDEX(Working!$A:$A, MATCH("zzz", Working!$A:$A)))) + 1))</f>
        <v/>
      </c>
      <c r="J139" t="str" cm="1">
        <f t="array" ref="J139">IF(Working!$A139="","",INDEX(Working!$A$2:INDEX(Working!$A:$A, MATCH("zzz", Working!$A:$A)), MOD(ROW()-ROW(J$2)+J$1, COUNTA(Working!$A$2:INDEX(Working!$A:$A, MATCH("zzz", Working!$A:$A)))) + 1))</f>
        <v/>
      </c>
      <c r="K139" t="str" cm="1">
        <f t="array" ref="K139">IF(Working!$A139="","",INDEX(Working!$A$2:INDEX(Working!$A:$A, MATCH("zzz", Working!$A:$A)), MOD(ROW()-ROW(K$2)+K$1, COUNTA(Working!$A$2:INDEX(Working!$A:$A, MATCH("zzz", Working!$A:$A)))) + 1))</f>
        <v/>
      </c>
      <c r="L139" t="str" cm="1">
        <f t="array" ref="L139">IF(Working!$A139="","",INDEX(Working!$A$2:INDEX(Working!$A:$A, MATCH("zzz", Working!$A:$A)), MOD(ROW()-ROW(L$2)+L$1, COUNTA(Working!$A$2:INDEX(Working!$A:$A, MATCH("zzz", Working!$A:$A)))) + 1))</f>
        <v/>
      </c>
    </row>
    <row r="140" spans="3:12" ht="15.75" customHeight="1" x14ac:dyDescent="0.2">
      <c r="C140" t="str" cm="1">
        <f t="array" ref="C140">IF(Working!$A140="","",INDEX(Working!$A$2:INDEX(Working!$A:$A, MATCH("zzz", Working!$A:$A)), MOD(ROW()-ROW(C$2)+C$1, COUNTA(Working!$A$2:INDEX(Working!$A:$A, MATCH("zzz", Working!$A:$A)))) + 1))</f>
        <v/>
      </c>
      <c r="D140" t="str" cm="1">
        <f t="array" ref="D140">IF(Working!$A140="","",INDEX(Working!$A$2:INDEX(Working!$A:$A, MATCH("zzz", Working!$A:$A)), MOD(ROW()-ROW(D$2)+D$1, COUNTA(Working!$A$2:INDEX(Working!$A:$A, MATCH("zzz", Working!$A:$A)))) + 1))</f>
        <v/>
      </c>
      <c r="E140" t="str" cm="1">
        <f t="array" ref="E140">IF(Working!$A140="","",INDEX(Working!$A$2:INDEX(Working!$A:$A, MATCH("zzz", Working!$A:$A)), MOD(ROW()-ROW(E$2)+E$1, COUNTA(Working!$A$2:INDEX(Working!$A:$A, MATCH("zzz", Working!$A:$A)))) + 1))</f>
        <v/>
      </c>
      <c r="F140" t="str" cm="1">
        <f t="array" ref="F140">IF(Working!$A140="","",INDEX(Working!$A$2:INDEX(Working!$A:$A, MATCH("zzz", Working!$A:$A)), MOD(ROW()-ROW(F$2)+F$1, COUNTA(Working!$A$2:INDEX(Working!$A:$A, MATCH("zzz", Working!$A:$A)))) + 1))</f>
        <v/>
      </c>
      <c r="G140" t="str" cm="1">
        <f t="array" ref="G140">IF(Working!$A140="","",INDEX(Working!$A$2:INDEX(Working!$A:$A, MATCH("zzz", Working!$A:$A)), MOD(ROW()-ROW(G$2)+G$1, COUNTA(Working!$A$2:INDEX(Working!$A:$A, MATCH("zzz", Working!$A:$A)))) + 1))</f>
        <v/>
      </c>
      <c r="H140" t="str" cm="1">
        <f t="array" ref="H140">IF(Working!$A140="","",INDEX(Working!$A$2:INDEX(Working!$A:$A, MATCH("zzz", Working!$A:$A)), MOD(ROW()-ROW(H$2)+H$1, COUNTA(Working!$A$2:INDEX(Working!$A:$A, MATCH("zzz", Working!$A:$A)))) + 1))</f>
        <v/>
      </c>
      <c r="I140" t="str" cm="1">
        <f t="array" ref="I140">IF(Working!$A140="","",INDEX(Working!$A$2:INDEX(Working!$A:$A, MATCH("zzz", Working!$A:$A)), MOD(ROW()-ROW(I$2)+I$1, COUNTA(Working!$A$2:INDEX(Working!$A:$A, MATCH("zzz", Working!$A:$A)))) + 1))</f>
        <v/>
      </c>
      <c r="J140" t="str" cm="1">
        <f t="array" ref="J140">IF(Working!$A140="","",INDEX(Working!$A$2:INDEX(Working!$A:$A, MATCH("zzz", Working!$A:$A)), MOD(ROW()-ROW(J$2)+J$1, COUNTA(Working!$A$2:INDEX(Working!$A:$A, MATCH("zzz", Working!$A:$A)))) + 1))</f>
        <v/>
      </c>
      <c r="K140" t="str" cm="1">
        <f t="array" ref="K140">IF(Working!$A140="","",INDEX(Working!$A$2:INDEX(Working!$A:$A, MATCH("zzz", Working!$A:$A)), MOD(ROW()-ROW(K$2)+K$1, COUNTA(Working!$A$2:INDEX(Working!$A:$A, MATCH("zzz", Working!$A:$A)))) + 1))</f>
        <v/>
      </c>
      <c r="L140" t="str" cm="1">
        <f t="array" ref="L140">IF(Working!$A140="","",INDEX(Working!$A$2:INDEX(Working!$A:$A, MATCH("zzz", Working!$A:$A)), MOD(ROW()-ROW(L$2)+L$1, COUNTA(Working!$A$2:INDEX(Working!$A:$A, MATCH("zzz", Working!$A:$A)))) + 1))</f>
        <v/>
      </c>
    </row>
    <row r="141" spans="3:12" ht="15.75" customHeight="1" x14ac:dyDescent="0.2">
      <c r="C141" t="str" cm="1">
        <f t="array" ref="C141">IF(Working!$A141="","",INDEX(Working!$A$2:INDEX(Working!$A:$A, MATCH("zzz", Working!$A:$A)), MOD(ROW()-ROW(C$2)+C$1, COUNTA(Working!$A$2:INDEX(Working!$A:$A, MATCH("zzz", Working!$A:$A)))) + 1))</f>
        <v/>
      </c>
      <c r="D141" t="str" cm="1">
        <f t="array" ref="D141">IF(Working!$A141="","",INDEX(Working!$A$2:INDEX(Working!$A:$A, MATCH("zzz", Working!$A:$A)), MOD(ROW()-ROW(D$2)+D$1, COUNTA(Working!$A$2:INDEX(Working!$A:$A, MATCH("zzz", Working!$A:$A)))) + 1))</f>
        <v/>
      </c>
      <c r="E141" t="str" cm="1">
        <f t="array" ref="E141">IF(Working!$A141="","",INDEX(Working!$A$2:INDEX(Working!$A:$A, MATCH("zzz", Working!$A:$A)), MOD(ROW()-ROW(E$2)+E$1, COUNTA(Working!$A$2:INDEX(Working!$A:$A, MATCH("zzz", Working!$A:$A)))) + 1))</f>
        <v/>
      </c>
      <c r="F141" t="str" cm="1">
        <f t="array" ref="F141">IF(Working!$A141="","",INDEX(Working!$A$2:INDEX(Working!$A:$A, MATCH("zzz", Working!$A:$A)), MOD(ROW()-ROW(F$2)+F$1, COUNTA(Working!$A$2:INDEX(Working!$A:$A, MATCH("zzz", Working!$A:$A)))) + 1))</f>
        <v/>
      </c>
      <c r="G141" t="str" cm="1">
        <f t="array" ref="G141">IF(Working!$A141="","",INDEX(Working!$A$2:INDEX(Working!$A:$A, MATCH("zzz", Working!$A:$A)), MOD(ROW()-ROW(G$2)+G$1, COUNTA(Working!$A$2:INDEX(Working!$A:$A, MATCH("zzz", Working!$A:$A)))) + 1))</f>
        <v/>
      </c>
      <c r="H141" t="str" cm="1">
        <f t="array" ref="H141">IF(Working!$A141="","",INDEX(Working!$A$2:INDEX(Working!$A:$A, MATCH("zzz", Working!$A:$A)), MOD(ROW()-ROW(H$2)+H$1, COUNTA(Working!$A$2:INDEX(Working!$A:$A, MATCH("zzz", Working!$A:$A)))) + 1))</f>
        <v/>
      </c>
      <c r="I141" t="str" cm="1">
        <f t="array" ref="I141">IF(Working!$A141="","",INDEX(Working!$A$2:INDEX(Working!$A:$A, MATCH("zzz", Working!$A:$A)), MOD(ROW()-ROW(I$2)+I$1, COUNTA(Working!$A$2:INDEX(Working!$A:$A, MATCH("zzz", Working!$A:$A)))) + 1))</f>
        <v/>
      </c>
      <c r="J141" t="str" cm="1">
        <f t="array" ref="J141">IF(Working!$A141="","",INDEX(Working!$A$2:INDEX(Working!$A:$A, MATCH("zzz", Working!$A:$A)), MOD(ROW()-ROW(J$2)+J$1, COUNTA(Working!$A$2:INDEX(Working!$A:$A, MATCH("zzz", Working!$A:$A)))) + 1))</f>
        <v/>
      </c>
      <c r="K141" t="str" cm="1">
        <f t="array" ref="K141">IF(Working!$A141="","",INDEX(Working!$A$2:INDEX(Working!$A:$A, MATCH("zzz", Working!$A:$A)), MOD(ROW()-ROW(K$2)+K$1, COUNTA(Working!$A$2:INDEX(Working!$A:$A, MATCH("zzz", Working!$A:$A)))) + 1))</f>
        <v/>
      </c>
      <c r="L141" t="str" cm="1">
        <f t="array" ref="L141">IF(Working!$A141="","",INDEX(Working!$A$2:INDEX(Working!$A:$A, MATCH("zzz", Working!$A:$A)), MOD(ROW()-ROW(L$2)+L$1, COUNTA(Working!$A$2:INDEX(Working!$A:$A, MATCH("zzz", Working!$A:$A)))) + 1))</f>
        <v/>
      </c>
    </row>
    <row r="142" spans="3:12" ht="15.75" customHeight="1" x14ac:dyDescent="0.2">
      <c r="C142" t="str" cm="1">
        <f t="array" ref="C142">IF(Working!$A142="","",INDEX(Working!$A$2:INDEX(Working!$A:$A, MATCH("zzz", Working!$A:$A)), MOD(ROW()-ROW(C$2)+C$1, COUNTA(Working!$A$2:INDEX(Working!$A:$A, MATCH("zzz", Working!$A:$A)))) + 1))</f>
        <v/>
      </c>
      <c r="D142" t="str" cm="1">
        <f t="array" ref="D142">IF(Working!$A142="","",INDEX(Working!$A$2:INDEX(Working!$A:$A, MATCH("zzz", Working!$A:$A)), MOD(ROW()-ROW(D$2)+D$1, COUNTA(Working!$A$2:INDEX(Working!$A:$A, MATCH("zzz", Working!$A:$A)))) + 1))</f>
        <v/>
      </c>
      <c r="E142" t="str" cm="1">
        <f t="array" ref="E142">IF(Working!$A142="","",INDEX(Working!$A$2:INDEX(Working!$A:$A, MATCH("zzz", Working!$A:$A)), MOD(ROW()-ROW(E$2)+E$1, COUNTA(Working!$A$2:INDEX(Working!$A:$A, MATCH("zzz", Working!$A:$A)))) + 1))</f>
        <v/>
      </c>
      <c r="F142" t="str" cm="1">
        <f t="array" ref="F142">IF(Working!$A142="","",INDEX(Working!$A$2:INDEX(Working!$A:$A, MATCH("zzz", Working!$A:$A)), MOD(ROW()-ROW(F$2)+F$1, COUNTA(Working!$A$2:INDEX(Working!$A:$A, MATCH("zzz", Working!$A:$A)))) + 1))</f>
        <v/>
      </c>
      <c r="G142" t="str" cm="1">
        <f t="array" ref="G142">IF(Working!$A142="","",INDEX(Working!$A$2:INDEX(Working!$A:$A, MATCH("zzz", Working!$A:$A)), MOD(ROW()-ROW(G$2)+G$1, COUNTA(Working!$A$2:INDEX(Working!$A:$A, MATCH("zzz", Working!$A:$A)))) + 1))</f>
        <v/>
      </c>
      <c r="H142" t="str" cm="1">
        <f t="array" ref="H142">IF(Working!$A142="","",INDEX(Working!$A$2:INDEX(Working!$A:$A, MATCH("zzz", Working!$A:$A)), MOD(ROW()-ROW(H$2)+H$1, COUNTA(Working!$A$2:INDEX(Working!$A:$A, MATCH("zzz", Working!$A:$A)))) + 1))</f>
        <v/>
      </c>
      <c r="I142" t="str" cm="1">
        <f t="array" ref="I142">IF(Working!$A142="","",INDEX(Working!$A$2:INDEX(Working!$A:$A, MATCH("zzz", Working!$A:$A)), MOD(ROW()-ROW(I$2)+I$1, COUNTA(Working!$A$2:INDEX(Working!$A:$A, MATCH("zzz", Working!$A:$A)))) + 1))</f>
        <v/>
      </c>
      <c r="J142" t="str" cm="1">
        <f t="array" ref="J142">IF(Working!$A142="","",INDEX(Working!$A$2:INDEX(Working!$A:$A, MATCH("zzz", Working!$A:$A)), MOD(ROW()-ROW(J$2)+J$1, COUNTA(Working!$A$2:INDEX(Working!$A:$A, MATCH("zzz", Working!$A:$A)))) + 1))</f>
        <v/>
      </c>
      <c r="K142" t="str" cm="1">
        <f t="array" ref="K142">IF(Working!$A142="","",INDEX(Working!$A$2:INDEX(Working!$A:$A, MATCH("zzz", Working!$A:$A)), MOD(ROW()-ROW(K$2)+K$1, COUNTA(Working!$A$2:INDEX(Working!$A:$A, MATCH("zzz", Working!$A:$A)))) + 1))</f>
        <v/>
      </c>
      <c r="L142" t="str" cm="1">
        <f t="array" ref="L142">IF(Working!$A142="","",INDEX(Working!$A$2:INDEX(Working!$A:$A, MATCH("zzz", Working!$A:$A)), MOD(ROW()-ROW(L$2)+L$1, COUNTA(Working!$A$2:INDEX(Working!$A:$A, MATCH("zzz", Working!$A:$A)))) + 1))</f>
        <v/>
      </c>
    </row>
    <row r="143" spans="3:12" ht="15.75" customHeight="1" x14ac:dyDescent="0.2">
      <c r="C143" t="str" cm="1">
        <f t="array" ref="C143">IF(Working!$A143="","",INDEX(Working!$A$2:INDEX(Working!$A:$A, MATCH("zzz", Working!$A:$A)), MOD(ROW()-ROW(C$2)+C$1, COUNTA(Working!$A$2:INDEX(Working!$A:$A, MATCH("zzz", Working!$A:$A)))) + 1))</f>
        <v/>
      </c>
      <c r="D143" t="str" cm="1">
        <f t="array" ref="D143">IF(Working!$A143="","",INDEX(Working!$A$2:INDEX(Working!$A:$A, MATCH("zzz", Working!$A:$A)), MOD(ROW()-ROW(D$2)+D$1, COUNTA(Working!$A$2:INDEX(Working!$A:$A, MATCH("zzz", Working!$A:$A)))) + 1))</f>
        <v/>
      </c>
      <c r="E143" t="str" cm="1">
        <f t="array" ref="E143">IF(Working!$A143="","",INDEX(Working!$A$2:INDEX(Working!$A:$A, MATCH("zzz", Working!$A:$A)), MOD(ROW()-ROW(E$2)+E$1, COUNTA(Working!$A$2:INDEX(Working!$A:$A, MATCH("zzz", Working!$A:$A)))) + 1))</f>
        <v/>
      </c>
      <c r="F143" t="str" cm="1">
        <f t="array" ref="F143">IF(Working!$A143="","",INDEX(Working!$A$2:INDEX(Working!$A:$A, MATCH("zzz", Working!$A:$A)), MOD(ROW()-ROW(F$2)+F$1, COUNTA(Working!$A$2:INDEX(Working!$A:$A, MATCH("zzz", Working!$A:$A)))) + 1))</f>
        <v/>
      </c>
      <c r="G143" t="str" cm="1">
        <f t="array" ref="G143">IF(Working!$A143="","",INDEX(Working!$A$2:INDEX(Working!$A:$A, MATCH("zzz", Working!$A:$A)), MOD(ROW()-ROW(G$2)+G$1, COUNTA(Working!$A$2:INDEX(Working!$A:$A, MATCH("zzz", Working!$A:$A)))) + 1))</f>
        <v/>
      </c>
      <c r="H143" t="str" cm="1">
        <f t="array" ref="H143">IF(Working!$A143="","",INDEX(Working!$A$2:INDEX(Working!$A:$A, MATCH("zzz", Working!$A:$A)), MOD(ROW()-ROW(H$2)+H$1, COUNTA(Working!$A$2:INDEX(Working!$A:$A, MATCH("zzz", Working!$A:$A)))) + 1))</f>
        <v/>
      </c>
      <c r="I143" t="str" cm="1">
        <f t="array" ref="I143">IF(Working!$A143="","",INDEX(Working!$A$2:INDEX(Working!$A:$A, MATCH("zzz", Working!$A:$A)), MOD(ROW()-ROW(I$2)+I$1, COUNTA(Working!$A$2:INDEX(Working!$A:$A, MATCH("zzz", Working!$A:$A)))) + 1))</f>
        <v/>
      </c>
      <c r="J143" t="str" cm="1">
        <f t="array" ref="J143">IF(Working!$A143="","",INDEX(Working!$A$2:INDEX(Working!$A:$A, MATCH("zzz", Working!$A:$A)), MOD(ROW()-ROW(J$2)+J$1, COUNTA(Working!$A$2:INDEX(Working!$A:$A, MATCH("zzz", Working!$A:$A)))) + 1))</f>
        <v/>
      </c>
      <c r="K143" t="str" cm="1">
        <f t="array" ref="K143">IF(Working!$A143="","",INDEX(Working!$A$2:INDEX(Working!$A:$A, MATCH("zzz", Working!$A:$A)), MOD(ROW()-ROW(K$2)+K$1, COUNTA(Working!$A$2:INDEX(Working!$A:$A, MATCH("zzz", Working!$A:$A)))) + 1))</f>
        <v/>
      </c>
      <c r="L143" t="str" cm="1">
        <f t="array" ref="L143">IF(Working!$A143="","",INDEX(Working!$A$2:INDEX(Working!$A:$A, MATCH("zzz", Working!$A:$A)), MOD(ROW()-ROW(L$2)+L$1, COUNTA(Working!$A$2:INDEX(Working!$A:$A, MATCH("zzz", Working!$A:$A)))) + 1))</f>
        <v/>
      </c>
    </row>
    <row r="144" spans="3:12" ht="15.75" customHeight="1" x14ac:dyDescent="0.2">
      <c r="C144" t="str" cm="1">
        <f t="array" ref="C144">IF(Working!$A144="","",INDEX(Working!$A$2:INDEX(Working!$A:$A, MATCH("zzz", Working!$A:$A)), MOD(ROW()-ROW(C$2)+C$1, COUNTA(Working!$A$2:INDEX(Working!$A:$A, MATCH("zzz", Working!$A:$A)))) + 1))</f>
        <v/>
      </c>
      <c r="D144" t="str" cm="1">
        <f t="array" ref="D144">IF(Working!$A144="","",INDEX(Working!$A$2:INDEX(Working!$A:$A, MATCH("zzz", Working!$A:$A)), MOD(ROW()-ROW(D$2)+D$1, COUNTA(Working!$A$2:INDEX(Working!$A:$A, MATCH("zzz", Working!$A:$A)))) + 1))</f>
        <v/>
      </c>
      <c r="E144" t="str" cm="1">
        <f t="array" ref="E144">IF(Working!$A144="","",INDEX(Working!$A$2:INDEX(Working!$A:$A, MATCH("zzz", Working!$A:$A)), MOD(ROW()-ROW(E$2)+E$1, COUNTA(Working!$A$2:INDEX(Working!$A:$A, MATCH("zzz", Working!$A:$A)))) + 1))</f>
        <v/>
      </c>
      <c r="F144" t="str" cm="1">
        <f t="array" ref="F144">IF(Working!$A144="","",INDEX(Working!$A$2:INDEX(Working!$A:$A, MATCH("zzz", Working!$A:$A)), MOD(ROW()-ROW(F$2)+F$1, COUNTA(Working!$A$2:INDEX(Working!$A:$A, MATCH("zzz", Working!$A:$A)))) + 1))</f>
        <v/>
      </c>
      <c r="G144" t="str" cm="1">
        <f t="array" ref="G144">IF(Working!$A144="","",INDEX(Working!$A$2:INDEX(Working!$A:$A, MATCH("zzz", Working!$A:$A)), MOD(ROW()-ROW(G$2)+G$1, COUNTA(Working!$A$2:INDEX(Working!$A:$A, MATCH("zzz", Working!$A:$A)))) + 1))</f>
        <v/>
      </c>
      <c r="H144" t="str" cm="1">
        <f t="array" ref="H144">IF(Working!$A144="","",INDEX(Working!$A$2:INDEX(Working!$A:$A, MATCH("zzz", Working!$A:$A)), MOD(ROW()-ROW(H$2)+H$1, COUNTA(Working!$A$2:INDEX(Working!$A:$A, MATCH("zzz", Working!$A:$A)))) + 1))</f>
        <v/>
      </c>
      <c r="I144" t="str" cm="1">
        <f t="array" ref="I144">IF(Working!$A144="","",INDEX(Working!$A$2:INDEX(Working!$A:$A, MATCH("zzz", Working!$A:$A)), MOD(ROW()-ROW(I$2)+I$1, COUNTA(Working!$A$2:INDEX(Working!$A:$A, MATCH("zzz", Working!$A:$A)))) + 1))</f>
        <v/>
      </c>
      <c r="J144" t="str" cm="1">
        <f t="array" ref="J144">IF(Working!$A144="","",INDEX(Working!$A$2:INDEX(Working!$A:$A, MATCH("zzz", Working!$A:$A)), MOD(ROW()-ROW(J$2)+J$1, COUNTA(Working!$A$2:INDEX(Working!$A:$A, MATCH("zzz", Working!$A:$A)))) + 1))</f>
        <v/>
      </c>
      <c r="K144" t="str" cm="1">
        <f t="array" ref="K144">IF(Working!$A144="","",INDEX(Working!$A$2:INDEX(Working!$A:$A, MATCH("zzz", Working!$A:$A)), MOD(ROW()-ROW(K$2)+K$1, COUNTA(Working!$A$2:INDEX(Working!$A:$A, MATCH("zzz", Working!$A:$A)))) + 1))</f>
        <v/>
      </c>
      <c r="L144" t="str" cm="1">
        <f t="array" ref="L144">IF(Working!$A144="","",INDEX(Working!$A$2:INDEX(Working!$A:$A, MATCH("zzz", Working!$A:$A)), MOD(ROW()-ROW(L$2)+L$1, COUNTA(Working!$A$2:INDEX(Working!$A:$A, MATCH("zzz", Working!$A:$A)))) + 1))</f>
        <v/>
      </c>
    </row>
    <row r="145" spans="3:12" ht="15.75" customHeight="1" x14ac:dyDescent="0.2">
      <c r="C145" t="str" cm="1">
        <f t="array" ref="C145">IF(Working!$A145="","",INDEX(Working!$A$2:INDEX(Working!$A:$A, MATCH("zzz", Working!$A:$A)), MOD(ROW()-ROW(C$2)+C$1, COUNTA(Working!$A$2:INDEX(Working!$A:$A, MATCH("zzz", Working!$A:$A)))) + 1))</f>
        <v/>
      </c>
      <c r="D145" t="str" cm="1">
        <f t="array" ref="D145">IF(Working!$A145="","",INDEX(Working!$A$2:INDEX(Working!$A:$A, MATCH("zzz", Working!$A:$A)), MOD(ROW()-ROW(D$2)+D$1, COUNTA(Working!$A$2:INDEX(Working!$A:$A, MATCH("zzz", Working!$A:$A)))) + 1))</f>
        <v/>
      </c>
      <c r="E145" t="str" cm="1">
        <f t="array" ref="E145">IF(Working!$A145="","",INDEX(Working!$A$2:INDEX(Working!$A:$A, MATCH("zzz", Working!$A:$A)), MOD(ROW()-ROW(E$2)+E$1, COUNTA(Working!$A$2:INDEX(Working!$A:$A, MATCH("zzz", Working!$A:$A)))) + 1))</f>
        <v/>
      </c>
      <c r="F145" t="str" cm="1">
        <f t="array" ref="F145">IF(Working!$A145="","",INDEX(Working!$A$2:INDEX(Working!$A:$A, MATCH("zzz", Working!$A:$A)), MOD(ROW()-ROW(F$2)+F$1, COUNTA(Working!$A$2:INDEX(Working!$A:$A, MATCH("zzz", Working!$A:$A)))) + 1))</f>
        <v/>
      </c>
      <c r="G145" t="str" cm="1">
        <f t="array" ref="G145">IF(Working!$A145="","",INDEX(Working!$A$2:INDEX(Working!$A:$A, MATCH("zzz", Working!$A:$A)), MOD(ROW()-ROW(G$2)+G$1, COUNTA(Working!$A$2:INDEX(Working!$A:$A, MATCH("zzz", Working!$A:$A)))) + 1))</f>
        <v/>
      </c>
      <c r="H145" t="str" cm="1">
        <f t="array" ref="H145">IF(Working!$A145="","",INDEX(Working!$A$2:INDEX(Working!$A:$A, MATCH("zzz", Working!$A:$A)), MOD(ROW()-ROW(H$2)+H$1, COUNTA(Working!$A$2:INDEX(Working!$A:$A, MATCH("zzz", Working!$A:$A)))) + 1))</f>
        <v/>
      </c>
      <c r="I145" t="str" cm="1">
        <f t="array" ref="I145">IF(Working!$A145="","",INDEX(Working!$A$2:INDEX(Working!$A:$A, MATCH("zzz", Working!$A:$A)), MOD(ROW()-ROW(I$2)+I$1, COUNTA(Working!$A$2:INDEX(Working!$A:$A, MATCH("zzz", Working!$A:$A)))) + 1))</f>
        <v/>
      </c>
      <c r="J145" t="str" cm="1">
        <f t="array" ref="J145">IF(Working!$A145="","",INDEX(Working!$A$2:INDEX(Working!$A:$A, MATCH("zzz", Working!$A:$A)), MOD(ROW()-ROW(J$2)+J$1, COUNTA(Working!$A$2:INDEX(Working!$A:$A, MATCH("zzz", Working!$A:$A)))) + 1))</f>
        <v/>
      </c>
      <c r="K145" t="str" cm="1">
        <f t="array" ref="K145">IF(Working!$A145="","",INDEX(Working!$A$2:INDEX(Working!$A:$A, MATCH("zzz", Working!$A:$A)), MOD(ROW()-ROW(K$2)+K$1, COUNTA(Working!$A$2:INDEX(Working!$A:$A, MATCH("zzz", Working!$A:$A)))) + 1))</f>
        <v/>
      </c>
      <c r="L145" t="str" cm="1">
        <f t="array" ref="L145">IF(Working!$A145="","",INDEX(Working!$A$2:INDEX(Working!$A:$A, MATCH("zzz", Working!$A:$A)), MOD(ROW()-ROW(L$2)+L$1, COUNTA(Working!$A$2:INDEX(Working!$A:$A, MATCH("zzz", Working!$A:$A)))) + 1))</f>
        <v/>
      </c>
    </row>
    <row r="146" spans="3:12" ht="15.75" customHeight="1" x14ac:dyDescent="0.2">
      <c r="C146" t="str" cm="1">
        <f t="array" ref="C146">IF(Working!$A146="","",INDEX(Working!$A$2:INDEX(Working!$A:$A, MATCH("zzz", Working!$A:$A)), MOD(ROW()-ROW(C$2)+C$1, COUNTA(Working!$A$2:INDEX(Working!$A:$A, MATCH("zzz", Working!$A:$A)))) + 1))</f>
        <v/>
      </c>
      <c r="D146" t="str" cm="1">
        <f t="array" ref="D146">IF(Working!$A146="","",INDEX(Working!$A$2:INDEX(Working!$A:$A, MATCH("zzz", Working!$A:$A)), MOD(ROW()-ROW(D$2)+D$1, COUNTA(Working!$A$2:INDEX(Working!$A:$A, MATCH("zzz", Working!$A:$A)))) + 1))</f>
        <v/>
      </c>
      <c r="E146" t="str" cm="1">
        <f t="array" ref="E146">IF(Working!$A146="","",INDEX(Working!$A$2:INDEX(Working!$A:$A, MATCH("zzz", Working!$A:$A)), MOD(ROW()-ROW(E$2)+E$1, COUNTA(Working!$A$2:INDEX(Working!$A:$A, MATCH("zzz", Working!$A:$A)))) + 1))</f>
        <v/>
      </c>
      <c r="F146" t="str" cm="1">
        <f t="array" ref="F146">IF(Working!$A146="","",INDEX(Working!$A$2:INDEX(Working!$A:$A, MATCH("zzz", Working!$A:$A)), MOD(ROW()-ROW(F$2)+F$1, COUNTA(Working!$A$2:INDEX(Working!$A:$A, MATCH("zzz", Working!$A:$A)))) + 1))</f>
        <v/>
      </c>
      <c r="G146" t="str" cm="1">
        <f t="array" ref="G146">IF(Working!$A146="","",INDEX(Working!$A$2:INDEX(Working!$A:$A, MATCH("zzz", Working!$A:$A)), MOD(ROW()-ROW(G$2)+G$1, COUNTA(Working!$A$2:INDEX(Working!$A:$A, MATCH("zzz", Working!$A:$A)))) + 1))</f>
        <v/>
      </c>
      <c r="H146" t="str" cm="1">
        <f t="array" ref="H146">IF(Working!$A146="","",INDEX(Working!$A$2:INDEX(Working!$A:$A, MATCH("zzz", Working!$A:$A)), MOD(ROW()-ROW(H$2)+H$1, COUNTA(Working!$A$2:INDEX(Working!$A:$A, MATCH("zzz", Working!$A:$A)))) + 1))</f>
        <v/>
      </c>
      <c r="I146" t="str" cm="1">
        <f t="array" ref="I146">IF(Working!$A146="","",INDEX(Working!$A$2:INDEX(Working!$A:$A, MATCH("zzz", Working!$A:$A)), MOD(ROW()-ROW(I$2)+I$1, COUNTA(Working!$A$2:INDEX(Working!$A:$A, MATCH("zzz", Working!$A:$A)))) + 1))</f>
        <v/>
      </c>
      <c r="J146" t="str" cm="1">
        <f t="array" ref="J146">IF(Working!$A146="","",INDEX(Working!$A$2:INDEX(Working!$A:$A, MATCH("zzz", Working!$A:$A)), MOD(ROW()-ROW(J$2)+J$1, COUNTA(Working!$A$2:INDEX(Working!$A:$A, MATCH("zzz", Working!$A:$A)))) + 1))</f>
        <v/>
      </c>
      <c r="K146" t="str" cm="1">
        <f t="array" ref="K146">IF(Working!$A146="","",INDEX(Working!$A$2:INDEX(Working!$A:$A, MATCH("zzz", Working!$A:$A)), MOD(ROW()-ROW(K$2)+K$1, COUNTA(Working!$A$2:INDEX(Working!$A:$A, MATCH("zzz", Working!$A:$A)))) + 1))</f>
        <v/>
      </c>
      <c r="L146" t="str" cm="1">
        <f t="array" ref="L146">IF(Working!$A146="","",INDEX(Working!$A$2:INDEX(Working!$A:$A, MATCH("zzz", Working!$A:$A)), MOD(ROW()-ROW(L$2)+L$1, COUNTA(Working!$A$2:INDEX(Working!$A:$A, MATCH("zzz", Working!$A:$A)))) + 1))</f>
        <v/>
      </c>
    </row>
    <row r="147" spans="3:12" ht="15.75" customHeight="1" x14ac:dyDescent="0.2">
      <c r="C147" t="str" cm="1">
        <f t="array" ref="C147">IF(Working!$A147="","",INDEX(Working!$A$2:INDEX(Working!$A:$A, MATCH("zzz", Working!$A:$A)), MOD(ROW()-ROW(C$2)+C$1, COUNTA(Working!$A$2:INDEX(Working!$A:$A, MATCH("zzz", Working!$A:$A)))) + 1))</f>
        <v/>
      </c>
      <c r="D147" t="str" cm="1">
        <f t="array" ref="D147">IF(Working!$A147="","",INDEX(Working!$A$2:INDEX(Working!$A:$A, MATCH("zzz", Working!$A:$A)), MOD(ROW()-ROW(D$2)+D$1, COUNTA(Working!$A$2:INDEX(Working!$A:$A, MATCH("zzz", Working!$A:$A)))) + 1))</f>
        <v/>
      </c>
      <c r="E147" t="str" cm="1">
        <f t="array" ref="E147">IF(Working!$A147="","",INDEX(Working!$A$2:INDEX(Working!$A:$A, MATCH("zzz", Working!$A:$A)), MOD(ROW()-ROW(E$2)+E$1, COUNTA(Working!$A$2:INDEX(Working!$A:$A, MATCH("zzz", Working!$A:$A)))) + 1))</f>
        <v/>
      </c>
      <c r="F147" t="str" cm="1">
        <f t="array" ref="F147">IF(Working!$A147="","",INDEX(Working!$A$2:INDEX(Working!$A:$A, MATCH("zzz", Working!$A:$A)), MOD(ROW()-ROW(F$2)+F$1, COUNTA(Working!$A$2:INDEX(Working!$A:$A, MATCH("zzz", Working!$A:$A)))) + 1))</f>
        <v/>
      </c>
      <c r="G147" t="str" cm="1">
        <f t="array" ref="G147">IF(Working!$A147="","",INDEX(Working!$A$2:INDEX(Working!$A:$A, MATCH("zzz", Working!$A:$A)), MOD(ROW()-ROW(G$2)+G$1, COUNTA(Working!$A$2:INDEX(Working!$A:$A, MATCH("zzz", Working!$A:$A)))) + 1))</f>
        <v/>
      </c>
      <c r="H147" t="str" cm="1">
        <f t="array" ref="H147">IF(Working!$A147="","",INDEX(Working!$A$2:INDEX(Working!$A:$A, MATCH("zzz", Working!$A:$A)), MOD(ROW()-ROW(H$2)+H$1, COUNTA(Working!$A$2:INDEX(Working!$A:$A, MATCH("zzz", Working!$A:$A)))) + 1))</f>
        <v/>
      </c>
      <c r="I147" t="str" cm="1">
        <f t="array" ref="I147">IF(Working!$A147="","",INDEX(Working!$A$2:INDEX(Working!$A:$A, MATCH("zzz", Working!$A:$A)), MOD(ROW()-ROW(I$2)+I$1, COUNTA(Working!$A$2:INDEX(Working!$A:$A, MATCH("zzz", Working!$A:$A)))) + 1))</f>
        <v/>
      </c>
      <c r="J147" t="str" cm="1">
        <f t="array" ref="J147">IF(Working!$A147="","",INDEX(Working!$A$2:INDEX(Working!$A:$A, MATCH("zzz", Working!$A:$A)), MOD(ROW()-ROW(J$2)+J$1, COUNTA(Working!$A$2:INDEX(Working!$A:$A, MATCH("zzz", Working!$A:$A)))) + 1))</f>
        <v/>
      </c>
      <c r="K147" t="str" cm="1">
        <f t="array" ref="K147">IF(Working!$A147="","",INDEX(Working!$A$2:INDEX(Working!$A:$A, MATCH("zzz", Working!$A:$A)), MOD(ROW()-ROW(K$2)+K$1, COUNTA(Working!$A$2:INDEX(Working!$A:$A, MATCH("zzz", Working!$A:$A)))) + 1))</f>
        <v/>
      </c>
      <c r="L147" t="str" cm="1">
        <f t="array" ref="L147">IF(Working!$A147="","",INDEX(Working!$A$2:INDEX(Working!$A:$A, MATCH("zzz", Working!$A:$A)), MOD(ROW()-ROW(L$2)+L$1, COUNTA(Working!$A$2:INDEX(Working!$A:$A, MATCH("zzz", Working!$A:$A)))) + 1))</f>
        <v/>
      </c>
    </row>
    <row r="148" spans="3:12" ht="15.75" customHeight="1" x14ac:dyDescent="0.2">
      <c r="C148" t="str" cm="1">
        <f t="array" ref="C148">IF(Working!$A148="","",INDEX(Working!$A$2:INDEX(Working!$A:$A, MATCH("zzz", Working!$A:$A)), MOD(ROW()-ROW(C$2)+C$1, COUNTA(Working!$A$2:INDEX(Working!$A:$A, MATCH("zzz", Working!$A:$A)))) + 1))</f>
        <v/>
      </c>
      <c r="D148" t="str" cm="1">
        <f t="array" ref="D148">IF(Working!$A148="","",INDEX(Working!$A$2:INDEX(Working!$A:$A, MATCH("zzz", Working!$A:$A)), MOD(ROW()-ROW(D$2)+D$1, COUNTA(Working!$A$2:INDEX(Working!$A:$A, MATCH("zzz", Working!$A:$A)))) + 1))</f>
        <v/>
      </c>
      <c r="E148" t="str" cm="1">
        <f t="array" ref="E148">IF(Working!$A148="","",INDEX(Working!$A$2:INDEX(Working!$A:$A, MATCH("zzz", Working!$A:$A)), MOD(ROW()-ROW(E$2)+E$1, COUNTA(Working!$A$2:INDEX(Working!$A:$A, MATCH("zzz", Working!$A:$A)))) + 1))</f>
        <v/>
      </c>
      <c r="F148" t="str" cm="1">
        <f t="array" ref="F148">IF(Working!$A148="","",INDEX(Working!$A$2:INDEX(Working!$A:$A, MATCH("zzz", Working!$A:$A)), MOD(ROW()-ROW(F$2)+F$1, COUNTA(Working!$A$2:INDEX(Working!$A:$A, MATCH("zzz", Working!$A:$A)))) + 1))</f>
        <v/>
      </c>
      <c r="G148" t="str" cm="1">
        <f t="array" ref="G148">IF(Working!$A148="","",INDEX(Working!$A$2:INDEX(Working!$A:$A, MATCH("zzz", Working!$A:$A)), MOD(ROW()-ROW(G$2)+G$1, COUNTA(Working!$A$2:INDEX(Working!$A:$A, MATCH("zzz", Working!$A:$A)))) + 1))</f>
        <v/>
      </c>
      <c r="H148" t="str" cm="1">
        <f t="array" ref="H148">IF(Working!$A148="","",INDEX(Working!$A$2:INDEX(Working!$A:$A, MATCH("zzz", Working!$A:$A)), MOD(ROW()-ROW(H$2)+H$1, COUNTA(Working!$A$2:INDEX(Working!$A:$A, MATCH("zzz", Working!$A:$A)))) + 1))</f>
        <v/>
      </c>
      <c r="I148" t="str" cm="1">
        <f t="array" ref="I148">IF(Working!$A148="","",INDEX(Working!$A$2:INDEX(Working!$A:$A, MATCH("zzz", Working!$A:$A)), MOD(ROW()-ROW(I$2)+I$1, COUNTA(Working!$A$2:INDEX(Working!$A:$A, MATCH("zzz", Working!$A:$A)))) + 1))</f>
        <v/>
      </c>
      <c r="J148" t="str" cm="1">
        <f t="array" ref="J148">IF(Working!$A148="","",INDEX(Working!$A$2:INDEX(Working!$A:$A, MATCH("zzz", Working!$A:$A)), MOD(ROW()-ROW(J$2)+J$1, COUNTA(Working!$A$2:INDEX(Working!$A:$A, MATCH("zzz", Working!$A:$A)))) + 1))</f>
        <v/>
      </c>
      <c r="K148" t="str" cm="1">
        <f t="array" ref="K148">IF(Working!$A148="","",INDEX(Working!$A$2:INDEX(Working!$A:$A, MATCH("zzz", Working!$A:$A)), MOD(ROW()-ROW(K$2)+K$1, COUNTA(Working!$A$2:INDEX(Working!$A:$A, MATCH("zzz", Working!$A:$A)))) + 1))</f>
        <v/>
      </c>
      <c r="L148" t="str" cm="1">
        <f t="array" ref="L148">IF(Working!$A148="","",INDEX(Working!$A$2:INDEX(Working!$A:$A, MATCH("zzz", Working!$A:$A)), MOD(ROW()-ROW(L$2)+L$1, COUNTA(Working!$A$2:INDEX(Working!$A:$A, MATCH("zzz", Working!$A:$A)))) + 1))</f>
        <v/>
      </c>
    </row>
    <row r="149" spans="3:12" ht="15.75" customHeight="1" x14ac:dyDescent="0.2">
      <c r="C149" t="str" cm="1">
        <f t="array" ref="C149">IF(Working!$A149="","",INDEX(Working!$A$2:INDEX(Working!$A:$A, MATCH("zzz", Working!$A:$A)), MOD(ROW()-ROW(C$2)+C$1, COUNTA(Working!$A$2:INDEX(Working!$A:$A, MATCH("zzz", Working!$A:$A)))) + 1))</f>
        <v/>
      </c>
      <c r="D149" t="str" cm="1">
        <f t="array" ref="D149">IF(Working!$A149="","",INDEX(Working!$A$2:INDEX(Working!$A:$A, MATCH("zzz", Working!$A:$A)), MOD(ROW()-ROW(D$2)+D$1, COUNTA(Working!$A$2:INDEX(Working!$A:$A, MATCH("zzz", Working!$A:$A)))) + 1))</f>
        <v/>
      </c>
      <c r="E149" t="str" cm="1">
        <f t="array" ref="E149">IF(Working!$A149="","",INDEX(Working!$A$2:INDEX(Working!$A:$A, MATCH("zzz", Working!$A:$A)), MOD(ROW()-ROW(E$2)+E$1, COUNTA(Working!$A$2:INDEX(Working!$A:$A, MATCH("zzz", Working!$A:$A)))) + 1))</f>
        <v/>
      </c>
      <c r="F149" t="str" cm="1">
        <f t="array" ref="F149">IF(Working!$A149="","",INDEX(Working!$A$2:INDEX(Working!$A:$A, MATCH("zzz", Working!$A:$A)), MOD(ROW()-ROW(F$2)+F$1, COUNTA(Working!$A$2:INDEX(Working!$A:$A, MATCH("zzz", Working!$A:$A)))) + 1))</f>
        <v/>
      </c>
      <c r="G149" t="str" cm="1">
        <f t="array" ref="G149">IF(Working!$A149="","",INDEX(Working!$A$2:INDEX(Working!$A:$A, MATCH("zzz", Working!$A:$A)), MOD(ROW()-ROW(G$2)+G$1, COUNTA(Working!$A$2:INDEX(Working!$A:$A, MATCH("zzz", Working!$A:$A)))) + 1))</f>
        <v/>
      </c>
      <c r="H149" t="str" cm="1">
        <f t="array" ref="H149">IF(Working!$A149="","",INDEX(Working!$A$2:INDEX(Working!$A:$A, MATCH("zzz", Working!$A:$A)), MOD(ROW()-ROW(H$2)+H$1, COUNTA(Working!$A$2:INDEX(Working!$A:$A, MATCH("zzz", Working!$A:$A)))) + 1))</f>
        <v/>
      </c>
      <c r="I149" t="str" cm="1">
        <f t="array" ref="I149">IF(Working!$A149="","",INDEX(Working!$A$2:INDEX(Working!$A:$A, MATCH("zzz", Working!$A:$A)), MOD(ROW()-ROW(I$2)+I$1, COUNTA(Working!$A$2:INDEX(Working!$A:$A, MATCH("zzz", Working!$A:$A)))) + 1))</f>
        <v/>
      </c>
      <c r="J149" t="str" cm="1">
        <f t="array" ref="J149">IF(Working!$A149="","",INDEX(Working!$A$2:INDEX(Working!$A:$A, MATCH("zzz", Working!$A:$A)), MOD(ROW()-ROW(J$2)+J$1, COUNTA(Working!$A$2:INDEX(Working!$A:$A, MATCH("zzz", Working!$A:$A)))) + 1))</f>
        <v/>
      </c>
      <c r="K149" t="str" cm="1">
        <f t="array" ref="K149">IF(Working!$A149="","",INDEX(Working!$A$2:INDEX(Working!$A:$A, MATCH("zzz", Working!$A:$A)), MOD(ROW()-ROW(K$2)+K$1, COUNTA(Working!$A$2:INDEX(Working!$A:$A, MATCH("zzz", Working!$A:$A)))) + 1))</f>
        <v/>
      </c>
      <c r="L149" t="str" cm="1">
        <f t="array" ref="L149">IF(Working!$A149="","",INDEX(Working!$A$2:INDEX(Working!$A:$A, MATCH("zzz", Working!$A:$A)), MOD(ROW()-ROW(L$2)+L$1, COUNTA(Working!$A$2:INDEX(Working!$A:$A, MATCH("zzz", Working!$A:$A)))) + 1))</f>
        <v/>
      </c>
    </row>
    <row r="150" spans="3:12" ht="15.75" customHeight="1" x14ac:dyDescent="0.2">
      <c r="C150" t="str" cm="1">
        <f t="array" ref="C150">IF(Working!$A150="","",INDEX(Working!$A$2:INDEX(Working!$A:$A, MATCH("zzz", Working!$A:$A)), MOD(ROW()-ROW(C$2)+C$1, COUNTA(Working!$A$2:INDEX(Working!$A:$A, MATCH("zzz", Working!$A:$A)))) + 1))</f>
        <v/>
      </c>
      <c r="D150" t="str" cm="1">
        <f t="array" ref="D150">IF(Working!$A150="","",INDEX(Working!$A$2:INDEX(Working!$A:$A, MATCH("zzz", Working!$A:$A)), MOD(ROW()-ROW(D$2)+D$1, COUNTA(Working!$A$2:INDEX(Working!$A:$A, MATCH("zzz", Working!$A:$A)))) + 1))</f>
        <v/>
      </c>
      <c r="E150" t="str" cm="1">
        <f t="array" ref="E150">IF(Working!$A150="","",INDEX(Working!$A$2:INDEX(Working!$A:$A, MATCH("zzz", Working!$A:$A)), MOD(ROW()-ROW(E$2)+E$1, COUNTA(Working!$A$2:INDEX(Working!$A:$A, MATCH("zzz", Working!$A:$A)))) + 1))</f>
        <v/>
      </c>
      <c r="F150" t="str" cm="1">
        <f t="array" ref="F150">IF(Working!$A150="","",INDEX(Working!$A$2:INDEX(Working!$A:$A, MATCH("zzz", Working!$A:$A)), MOD(ROW()-ROW(F$2)+F$1, COUNTA(Working!$A$2:INDEX(Working!$A:$A, MATCH("zzz", Working!$A:$A)))) + 1))</f>
        <v/>
      </c>
      <c r="G150" t="str" cm="1">
        <f t="array" ref="G150">IF(Working!$A150="","",INDEX(Working!$A$2:INDEX(Working!$A:$A, MATCH("zzz", Working!$A:$A)), MOD(ROW()-ROW(G$2)+G$1, COUNTA(Working!$A$2:INDEX(Working!$A:$A, MATCH("zzz", Working!$A:$A)))) + 1))</f>
        <v/>
      </c>
      <c r="H150" t="str" cm="1">
        <f t="array" ref="H150">IF(Working!$A150="","",INDEX(Working!$A$2:INDEX(Working!$A:$A, MATCH("zzz", Working!$A:$A)), MOD(ROW()-ROW(H$2)+H$1, COUNTA(Working!$A$2:INDEX(Working!$A:$A, MATCH("zzz", Working!$A:$A)))) + 1))</f>
        <v/>
      </c>
      <c r="I150" t="str" cm="1">
        <f t="array" ref="I150">IF(Working!$A150="","",INDEX(Working!$A$2:INDEX(Working!$A:$A, MATCH("zzz", Working!$A:$A)), MOD(ROW()-ROW(I$2)+I$1, COUNTA(Working!$A$2:INDEX(Working!$A:$A, MATCH("zzz", Working!$A:$A)))) + 1))</f>
        <v/>
      </c>
      <c r="J150" t="str" cm="1">
        <f t="array" ref="J150">IF(Working!$A150="","",INDEX(Working!$A$2:INDEX(Working!$A:$A, MATCH("zzz", Working!$A:$A)), MOD(ROW()-ROW(J$2)+J$1, COUNTA(Working!$A$2:INDEX(Working!$A:$A, MATCH("zzz", Working!$A:$A)))) + 1))</f>
        <v/>
      </c>
      <c r="K150" t="str" cm="1">
        <f t="array" ref="K150">IF(Working!$A150="","",INDEX(Working!$A$2:INDEX(Working!$A:$A, MATCH("zzz", Working!$A:$A)), MOD(ROW()-ROW(K$2)+K$1, COUNTA(Working!$A$2:INDEX(Working!$A:$A, MATCH("zzz", Working!$A:$A)))) + 1))</f>
        <v/>
      </c>
      <c r="L150" t="str" cm="1">
        <f t="array" ref="L150">IF(Working!$A150="","",INDEX(Working!$A$2:INDEX(Working!$A:$A, MATCH("zzz", Working!$A:$A)), MOD(ROW()-ROW(L$2)+L$1, COUNTA(Working!$A$2:INDEX(Working!$A:$A, MATCH("zzz", Working!$A:$A)))) + 1))</f>
        <v/>
      </c>
    </row>
    <row r="151" spans="3:12" ht="15.75" customHeight="1" x14ac:dyDescent="0.2">
      <c r="C151" t="str" cm="1">
        <f t="array" ref="C151">IF(Working!$A151="","",INDEX(Working!$A$2:INDEX(Working!$A:$A, MATCH("zzz", Working!$A:$A)), MOD(ROW()-ROW(C$2)+C$1, COUNTA(Working!$A$2:INDEX(Working!$A:$A, MATCH("zzz", Working!$A:$A)))) + 1))</f>
        <v/>
      </c>
      <c r="D151" t="str" cm="1">
        <f t="array" ref="D151">IF(Working!$A151="","",INDEX(Working!$A$2:INDEX(Working!$A:$A, MATCH("zzz", Working!$A:$A)), MOD(ROW()-ROW(D$2)+D$1, COUNTA(Working!$A$2:INDEX(Working!$A:$A, MATCH("zzz", Working!$A:$A)))) + 1))</f>
        <v/>
      </c>
      <c r="E151" t="str" cm="1">
        <f t="array" ref="E151">IF(Working!$A151="","",INDEX(Working!$A$2:INDEX(Working!$A:$A, MATCH("zzz", Working!$A:$A)), MOD(ROW()-ROW(E$2)+E$1, COUNTA(Working!$A$2:INDEX(Working!$A:$A, MATCH("zzz", Working!$A:$A)))) + 1))</f>
        <v/>
      </c>
      <c r="F151" t="str" cm="1">
        <f t="array" ref="F151">IF(Working!$A151="","",INDEX(Working!$A$2:INDEX(Working!$A:$A, MATCH("zzz", Working!$A:$A)), MOD(ROW()-ROW(F$2)+F$1, COUNTA(Working!$A$2:INDEX(Working!$A:$A, MATCH("zzz", Working!$A:$A)))) + 1))</f>
        <v/>
      </c>
      <c r="G151" t="str" cm="1">
        <f t="array" ref="G151">IF(Working!$A151="","",INDEX(Working!$A$2:INDEX(Working!$A:$A, MATCH("zzz", Working!$A:$A)), MOD(ROW()-ROW(G$2)+G$1, COUNTA(Working!$A$2:INDEX(Working!$A:$A, MATCH("zzz", Working!$A:$A)))) + 1))</f>
        <v/>
      </c>
      <c r="H151" t="str" cm="1">
        <f t="array" ref="H151">IF(Working!$A151="","",INDEX(Working!$A$2:INDEX(Working!$A:$A, MATCH("zzz", Working!$A:$A)), MOD(ROW()-ROW(H$2)+H$1, COUNTA(Working!$A$2:INDEX(Working!$A:$A, MATCH("zzz", Working!$A:$A)))) + 1))</f>
        <v/>
      </c>
      <c r="I151" t="str" cm="1">
        <f t="array" ref="I151">IF(Working!$A151="","",INDEX(Working!$A$2:INDEX(Working!$A:$A, MATCH("zzz", Working!$A:$A)), MOD(ROW()-ROW(I$2)+I$1, COUNTA(Working!$A$2:INDEX(Working!$A:$A, MATCH("zzz", Working!$A:$A)))) + 1))</f>
        <v/>
      </c>
      <c r="J151" t="str" cm="1">
        <f t="array" ref="J151">IF(Working!$A151="","",INDEX(Working!$A$2:INDEX(Working!$A:$A, MATCH("zzz", Working!$A:$A)), MOD(ROW()-ROW(J$2)+J$1, COUNTA(Working!$A$2:INDEX(Working!$A:$A, MATCH("zzz", Working!$A:$A)))) + 1))</f>
        <v/>
      </c>
      <c r="K151" t="str" cm="1">
        <f t="array" ref="K151">IF(Working!$A151="","",INDEX(Working!$A$2:INDEX(Working!$A:$A, MATCH("zzz", Working!$A:$A)), MOD(ROW()-ROW(K$2)+K$1, COUNTA(Working!$A$2:INDEX(Working!$A:$A, MATCH("zzz", Working!$A:$A)))) + 1))</f>
        <v/>
      </c>
      <c r="L151" t="str" cm="1">
        <f t="array" ref="L151">IF(Working!$A151="","",INDEX(Working!$A$2:INDEX(Working!$A:$A, MATCH("zzz", Working!$A:$A)), MOD(ROW()-ROW(L$2)+L$1, COUNTA(Working!$A$2:INDEX(Working!$A:$A, MATCH("zzz", Working!$A:$A)))) + 1))</f>
        <v/>
      </c>
    </row>
    <row r="152" spans="3:12" ht="15.75" customHeight="1" x14ac:dyDescent="0.2">
      <c r="C152" t="str" cm="1">
        <f t="array" ref="C152">IF(Working!$A152="","",INDEX(Working!$A$2:INDEX(Working!$A:$A, MATCH("zzz", Working!$A:$A)), MOD(ROW()-ROW(C$2)+C$1, COUNTA(Working!$A$2:INDEX(Working!$A:$A, MATCH("zzz", Working!$A:$A)))) + 1))</f>
        <v/>
      </c>
      <c r="D152" t="str" cm="1">
        <f t="array" ref="D152">IF(Working!$A152="","",INDEX(Working!$A$2:INDEX(Working!$A:$A, MATCH("zzz", Working!$A:$A)), MOD(ROW()-ROW(D$2)+D$1, COUNTA(Working!$A$2:INDEX(Working!$A:$A, MATCH("zzz", Working!$A:$A)))) + 1))</f>
        <v/>
      </c>
      <c r="E152" t="str" cm="1">
        <f t="array" ref="E152">IF(Working!$A152="","",INDEX(Working!$A$2:INDEX(Working!$A:$A, MATCH("zzz", Working!$A:$A)), MOD(ROW()-ROW(E$2)+E$1, COUNTA(Working!$A$2:INDEX(Working!$A:$A, MATCH("zzz", Working!$A:$A)))) + 1))</f>
        <v/>
      </c>
      <c r="F152" t="str" cm="1">
        <f t="array" ref="F152">IF(Working!$A152="","",INDEX(Working!$A$2:INDEX(Working!$A:$A, MATCH("zzz", Working!$A:$A)), MOD(ROW()-ROW(F$2)+F$1, COUNTA(Working!$A$2:INDEX(Working!$A:$A, MATCH("zzz", Working!$A:$A)))) + 1))</f>
        <v/>
      </c>
      <c r="G152" t="str" cm="1">
        <f t="array" ref="G152">IF(Working!$A152="","",INDEX(Working!$A$2:INDEX(Working!$A:$A, MATCH("zzz", Working!$A:$A)), MOD(ROW()-ROW(G$2)+G$1, COUNTA(Working!$A$2:INDEX(Working!$A:$A, MATCH("zzz", Working!$A:$A)))) + 1))</f>
        <v/>
      </c>
      <c r="H152" t="str" cm="1">
        <f t="array" ref="H152">IF(Working!$A152="","",INDEX(Working!$A$2:INDEX(Working!$A:$A, MATCH("zzz", Working!$A:$A)), MOD(ROW()-ROW(H$2)+H$1, COUNTA(Working!$A$2:INDEX(Working!$A:$A, MATCH("zzz", Working!$A:$A)))) + 1))</f>
        <v/>
      </c>
      <c r="I152" t="str" cm="1">
        <f t="array" ref="I152">IF(Working!$A152="","",INDEX(Working!$A$2:INDEX(Working!$A:$A, MATCH("zzz", Working!$A:$A)), MOD(ROW()-ROW(I$2)+I$1, COUNTA(Working!$A$2:INDEX(Working!$A:$A, MATCH("zzz", Working!$A:$A)))) + 1))</f>
        <v/>
      </c>
      <c r="J152" t="str" cm="1">
        <f t="array" ref="J152">IF(Working!$A152="","",INDEX(Working!$A$2:INDEX(Working!$A:$A, MATCH("zzz", Working!$A:$A)), MOD(ROW()-ROW(J$2)+J$1, COUNTA(Working!$A$2:INDEX(Working!$A:$A, MATCH("zzz", Working!$A:$A)))) + 1))</f>
        <v/>
      </c>
      <c r="K152" t="str" cm="1">
        <f t="array" ref="K152">IF(Working!$A152="","",INDEX(Working!$A$2:INDEX(Working!$A:$A, MATCH("zzz", Working!$A:$A)), MOD(ROW()-ROW(K$2)+K$1, COUNTA(Working!$A$2:INDEX(Working!$A:$A, MATCH("zzz", Working!$A:$A)))) + 1))</f>
        <v/>
      </c>
      <c r="L152" t="str" cm="1">
        <f t="array" ref="L152">IF(Working!$A152="","",INDEX(Working!$A$2:INDEX(Working!$A:$A, MATCH("zzz", Working!$A:$A)), MOD(ROW()-ROW(L$2)+L$1, COUNTA(Working!$A$2:INDEX(Working!$A:$A, MATCH("zzz", Working!$A:$A)))) + 1))</f>
        <v/>
      </c>
    </row>
    <row r="153" spans="3:12" ht="15.75" customHeight="1" x14ac:dyDescent="0.2">
      <c r="C153" t="str" cm="1">
        <f t="array" ref="C153">IF(Working!$A153="","",INDEX(Working!$A$2:INDEX(Working!$A:$A, MATCH("zzz", Working!$A:$A)), MOD(ROW()-ROW(C$2)+C$1, COUNTA(Working!$A$2:INDEX(Working!$A:$A, MATCH("zzz", Working!$A:$A)))) + 1))</f>
        <v/>
      </c>
      <c r="D153" t="str" cm="1">
        <f t="array" ref="D153">IF(Working!$A153="","",INDEX(Working!$A$2:INDEX(Working!$A:$A, MATCH("zzz", Working!$A:$A)), MOD(ROW()-ROW(D$2)+D$1, COUNTA(Working!$A$2:INDEX(Working!$A:$A, MATCH("zzz", Working!$A:$A)))) + 1))</f>
        <v/>
      </c>
      <c r="E153" t="str" cm="1">
        <f t="array" ref="E153">IF(Working!$A153="","",INDEX(Working!$A$2:INDEX(Working!$A:$A, MATCH("zzz", Working!$A:$A)), MOD(ROW()-ROW(E$2)+E$1, COUNTA(Working!$A$2:INDEX(Working!$A:$A, MATCH("zzz", Working!$A:$A)))) + 1))</f>
        <v/>
      </c>
      <c r="F153" t="str" cm="1">
        <f t="array" ref="F153">IF(Working!$A153="","",INDEX(Working!$A$2:INDEX(Working!$A:$A, MATCH("zzz", Working!$A:$A)), MOD(ROW()-ROW(F$2)+F$1, COUNTA(Working!$A$2:INDEX(Working!$A:$A, MATCH("zzz", Working!$A:$A)))) + 1))</f>
        <v/>
      </c>
      <c r="G153" t="str" cm="1">
        <f t="array" ref="G153">IF(Working!$A153="","",INDEX(Working!$A$2:INDEX(Working!$A:$A, MATCH("zzz", Working!$A:$A)), MOD(ROW()-ROW(G$2)+G$1, COUNTA(Working!$A$2:INDEX(Working!$A:$A, MATCH("zzz", Working!$A:$A)))) + 1))</f>
        <v/>
      </c>
      <c r="H153" t="str" cm="1">
        <f t="array" ref="H153">IF(Working!$A153="","",INDEX(Working!$A$2:INDEX(Working!$A:$A, MATCH("zzz", Working!$A:$A)), MOD(ROW()-ROW(H$2)+H$1, COUNTA(Working!$A$2:INDEX(Working!$A:$A, MATCH("zzz", Working!$A:$A)))) + 1))</f>
        <v/>
      </c>
      <c r="I153" t="str" cm="1">
        <f t="array" ref="I153">IF(Working!$A153="","",INDEX(Working!$A$2:INDEX(Working!$A:$A, MATCH("zzz", Working!$A:$A)), MOD(ROW()-ROW(I$2)+I$1, COUNTA(Working!$A$2:INDEX(Working!$A:$A, MATCH("zzz", Working!$A:$A)))) + 1))</f>
        <v/>
      </c>
      <c r="J153" t="str" cm="1">
        <f t="array" ref="J153">IF(Working!$A153="","",INDEX(Working!$A$2:INDEX(Working!$A:$A, MATCH("zzz", Working!$A:$A)), MOD(ROW()-ROW(J$2)+J$1, COUNTA(Working!$A$2:INDEX(Working!$A:$A, MATCH("zzz", Working!$A:$A)))) + 1))</f>
        <v/>
      </c>
      <c r="K153" t="str" cm="1">
        <f t="array" ref="K153">IF(Working!$A153="","",INDEX(Working!$A$2:INDEX(Working!$A:$A, MATCH("zzz", Working!$A:$A)), MOD(ROW()-ROW(K$2)+K$1, COUNTA(Working!$A$2:INDEX(Working!$A:$A, MATCH("zzz", Working!$A:$A)))) + 1))</f>
        <v/>
      </c>
      <c r="L153" t="str" cm="1">
        <f t="array" ref="L153">IF(Working!$A153="","",INDEX(Working!$A$2:INDEX(Working!$A:$A, MATCH("zzz", Working!$A:$A)), MOD(ROW()-ROW(L$2)+L$1, COUNTA(Working!$A$2:INDEX(Working!$A:$A, MATCH("zzz", Working!$A:$A)))) + 1))</f>
        <v/>
      </c>
    </row>
    <row r="154" spans="3:12" ht="15.75" customHeight="1" x14ac:dyDescent="0.2">
      <c r="C154" t="str" cm="1">
        <f t="array" ref="C154">IF(Working!$A154="","",INDEX(Working!$A$2:INDEX(Working!$A:$A, MATCH("zzz", Working!$A:$A)), MOD(ROW()-ROW(C$2)+C$1, COUNTA(Working!$A$2:INDEX(Working!$A:$A, MATCH("zzz", Working!$A:$A)))) + 1))</f>
        <v/>
      </c>
      <c r="D154" t="str" cm="1">
        <f t="array" ref="D154">IF(Working!$A154="","",INDEX(Working!$A$2:INDEX(Working!$A:$A, MATCH("zzz", Working!$A:$A)), MOD(ROW()-ROW(D$2)+D$1, COUNTA(Working!$A$2:INDEX(Working!$A:$A, MATCH("zzz", Working!$A:$A)))) + 1))</f>
        <v/>
      </c>
      <c r="E154" t="str" cm="1">
        <f t="array" ref="E154">IF(Working!$A154="","",INDEX(Working!$A$2:INDEX(Working!$A:$A, MATCH("zzz", Working!$A:$A)), MOD(ROW()-ROW(E$2)+E$1, COUNTA(Working!$A$2:INDEX(Working!$A:$A, MATCH("zzz", Working!$A:$A)))) + 1))</f>
        <v/>
      </c>
      <c r="F154" t="str" cm="1">
        <f t="array" ref="F154">IF(Working!$A154="","",INDEX(Working!$A$2:INDEX(Working!$A:$A, MATCH("zzz", Working!$A:$A)), MOD(ROW()-ROW(F$2)+F$1, COUNTA(Working!$A$2:INDEX(Working!$A:$A, MATCH("zzz", Working!$A:$A)))) + 1))</f>
        <v/>
      </c>
      <c r="G154" t="str" cm="1">
        <f t="array" ref="G154">IF(Working!$A154="","",INDEX(Working!$A$2:INDEX(Working!$A:$A, MATCH("zzz", Working!$A:$A)), MOD(ROW()-ROW(G$2)+G$1, COUNTA(Working!$A$2:INDEX(Working!$A:$A, MATCH("zzz", Working!$A:$A)))) + 1))</f>
        <v/>
      </c>
      <c r="H154" t="str" cm="1">
        <f t="array" ref="H154">IF(Working!$A154="","",INDEX(Working!$A$2:INDEX(Working!$A:$A, MATCH("zzz", Working!$A:$A)), MOD(ROW()-ROW(H$2)+H$1, COUNTA(Working!$A$2:INDEX(Working!$A:$A, MATCH("zzz", Working!$A:$A)))) + 1))</f>
        <v/>
      </c>
      <c r="I154" t="str" cm="1">
        <f t="array" ref="I154">IF(Working!$A154="","",INDEX(Working!$A$2:INDEX(Working!$A:$A, MATCH("zzz", Working!$A:$A)), MOD(ROW()-ROW(I$2)+I$1, COUNTA(Working!$A$2:INDEX(Working!$A:$A, MATCH("zzz", Working!$A:$A)))) + 1))</f>
        <v/>
      </c>
      <c r="J154" t="str" cm="1">
        <f t="array" ref="J154">IF(Working!$A154="","",INDEX(Working!$A$2:INDEX(Working!$A:$A, MATCH("zzz", Working!$A:$A)), MOD(ROW()-ROW(J$2)+J$1, COUNTA(Working!$A$2:INDEX(Working!$A:$A, MATCH("zzz", Working!$A:$A)))) + 1))</f>
        <v/>
      </c>
      <c r="K154" t="str" cm="1">
        <f t="array" ref="K154">IF(Working!$A154="","",INDEX(Working!$A$2:INDEX(Working!$A:$A, MATCH("zzz", Working!$A:$A)), MOD(ROW()-ROW(K$2)+K$1, COUNTA(Working!$A$2:INDEX(Working!$A:$A, MATCH("zzz", Working!$A:$A)))) + 1))</f>
        <v/>
      </c>
      <c r="L154" t="str" cm="1">
        <f t="array" ref="L154">IF(Working!$A154="","",INDEX(Working!$A$2:INDEX(Working!$A:$A, MATCH("zzz", Working!$A:$A)), MOD(ROW()-ROW(L$2)+L$1, COUNTA(Working!$A$2:INDEX(Working!$A:$A, MATCH("zzz", Working!$A:$A)))) + 1))</f>
        <v/>
      </c>
    </row>
    <row r="155" spans="3:12" ht="15.75" customHeight="1" x14ac:dyDescent="0.2">
      <c r="C155" t="str" cm="1">
        <f t="array" ref="C155">IF(Working!$A155="","",INDEX(Working!$A$2:INDEX(Working!$A:$A, MATCH("zzz", Working!$A:$A)), MOD(ROW()-ROW(C$2)+C$1, COUNTA(Working!$A$2:INDEX(Working!$A:$A, MATCH("zzz", Working!$A:$A)))) + 1))</f>
        <v/>
      </c>
      <c r="D155" t="str" cm="1">
        <f t="array" ref="D155">IF(Working!$A155="","",INDEX(Working!$A$2:INDEX(Working!$A:$A, MATCH("zzz", Working!$A:$A)), MOD(ROW()-ROW(D$2)+D$1, COUNTA(Working!$A$2:INDEX(Working!$A:$A, MATCH("zzz", Working!$A:$A)))) + 1))</f>
        <v/>
      </c>
      <c r="E155" t="str" cm="1">
        <f t="array" ref="E155">IF(Working!$A155="","",INDEX(Working!$A$2:INDEX(Working!$A:$A, MATCH("zzz", Working!$A:$A)), MOD(ROW()-ROW(E$2)+E$1, COUNTA(Working!$A$2:INDEX(Working!$A:$A, MATCH("zzz", Working!$A:$A)))) + 1))</f>
        <v/>
      </c>
      <c r="F155" t="str" cm="1">
        <f t="array" ref="F155">IF(Working!$A155="","",INDEX(Working!$A$2:INDEX(Working!$A:$A, MATCH("zzz", Working!$A:$A)), MOD(ROW()-ROW(F$2)+F$1, COUNTA(Working!$A$2:INDEX(Working!$A:$A, MATCH("zzz", Working!$A:$A)))) + 1))</f>
        <v/>
      </c>
      <c r="G155" t="str" cm="1">
        <f t="array" ref="G155">IF(Working!$A155="","",INDEX(Working!$A$2:INDEX(Working!$A:$A, MATCH("zzz", Working!$A:$A)), MOD(ROW()-ROW(G$2)+G$1, COUNTA(Working!$A$2:INDEX(Working!$A:$A, MATCH("zzz", Working!$A:$A)))) + 1))</f>
        <v/>
      </c>
      <c r="H155" t="str" cm="1">
        <f t="array" ref="H155">IF(Working!$A155="","",INDEX(Working!$A$2:INDEX(Working!$A:$A, MATCH("zzz", Working!$A:$A)), MOD(ROW()-ROW(H$2)+H$1, COUNTA(Working!$A$2:INDEX(Working!$A:$A, MATCH("zzz", Working!$A:$A)))) + 1))</f>
        <v/>
      </c>
      <c r="I155" t="str" cm="1">
        <f t="array" ref="I155">IF(Working!$A155="","",INDEX(Working!$A$2:INDEX(Working!$A:$A, MATCH("zzz", Working!$A:$A)), MOD(ROW()-ROW(I$2)+I$1, COUNTA(Working!$A$2:INDEX(Working!$A:$A, MATCH("zzz", Working!$A:$A)))) + 1))</f>
        <v/>
      </c>
      <c r="J155" t="str" cm="1">
        <f t="array" ref="J155">IF(Working!$A155="","",INDEX(Working!$A$2:INDEX(Working!$A:$A, MATCH("zzz", Working!$A:$A)), MOD(ROW()-ROW(J$2)+J$1, COUNTA(Working!$A$2:INDEX(Working!$A:$A, MATCH("zzz", Working!$A:$A)))) + 1))</f>
        <v/>
      </c>
      <c r="K155" t="str" cm="1">
        <f t="array" ref="K155">IF(Working!$A155="","",INDEX(Working!$A$2:INDEX(Working!$A:$A, MATCH("zzz", Working!$A:$A)), MOD(ROW()-ROW(K$2)+K$1, COUNTA(Working!$A$2:INDEX(Working!$A:$A, MATCH("zzz", Working!$A:$A)))) + 1))</f>
        <v/>
      </c>
      <c r="L155" t="str" cm="1">
        <f t="array" ref="L155">IF(Working!$A155="","",INDEX(Working!$A$2:INDEX(Working!$A:$A, MATCH("zzz", Working!$A:$A)), MOD(ROW()-ROW(L$2)+L$1, COUNTA(Working!$A$2:INDEX(Working!$A:$A, MATCH("zzz", Working!$A:$A)))) + 1))</f>
        <v/>
      </c>
    </row>
    <row r="156" spans="3:12" ht="15.75" customHeight="1" x14ac:dyDescent="0.2">
      <c r="C156" t="str" cm="1">
        <f t="array" ref="C156">IF(Working!$A156="","",INDEX(Working!$A$2:INDEX(Working!$A:$A, MATCH("zzz", Working!$A:$A)), MOD(ROW()-ROW(C$2)+C$1, COUNTA(Working!$A$2:INDEX(Working!$A:$A, MATCH("zzz", Working!$A:$A)))) + 1))</f>
        <v/>
      </c>
      <c r="D156" t="str" cm="1">
        <f t="array" ref="D156">IF(Working!$A156="","",INDEX(Working!$A$2:INDEX(Working!$A:$A, MATCH("zzz", Working!$A:$A)), MOD(ROW()-ROW(D$2)+D$1, COUNTA(Working!$A$2:INDEX(Working!$A:$A, MATCH("zzz", Working!$A:$A)))) + 1))</f>
        <v/>
      </c>
      <c r="E156" t="str" cm="1">
        <f t="array" ref="E156">IF(Working!$A156="","",INDEX(Working!$A$2:INDEX(Working!$A:$A, MATCH("zzz", Working!$A:$A)), MOD(ROW()-ROW(E$2)+E$1, COUNTA(Working!$A$2:INDEX(Working!$A:$A, MATCH("zzz", Working!$A:$A)))) + 1))</f>
        <v/>
      </c>
      <c r="F156" t="str" cm="1">
        <f t="array" ref="F156">IF(Working!$A156="","",INDEX(Working!$A$2:INDEX(Working!$A:$A, MATCH("zzz", Working!$A:$A)), MOD(ROW()-ROW(F$2)+F$1, COUNTA(Working!$A$2:INDEX(Working!$A:$A, MATCH("zzz", Working!$A:$A)))) + 1))</f>
        <v/>
      </c>
      <c r="G156" t="str" cm="1">
        <f t="array" ref="G156">IF(Working!$A156="","",INDEX(Working!$A$2:INDEX(Working!$A:$A, MATCH("zzz", Working!$A:$A)), MOD(ROW()-ROW(G$2)+G$1, COUNTA(Working!$A$2:INDEX(Working!$A:$A, MATCH("zzz", Working!$A:$A)))) + 1))</f>
        <v/>
      </c>
      <c r="H156" t="str" cm="1">
        <f t="array" ref="H156">IF(Working!$A156="","",INDEX(Working!$A$2:INDEX(Working!$A:$A, MATCH("zzz", Working!$A:$A)), MOD(ROW()-ROW(H$2)+H$1, COUNTA(Working!$A$2:INDEX(Working!$A:$A, MATCH("zzz", Working!$A:$A)))) + 1))</f>
        <v/>
      </c>
      <c r="I156" t="str" cm="1">
        <f t="array" ref="I156">IF(Working!$A156="","",INDEX(Working!$A$2:INDEX(Working!$A:$A, MATCH("zzz", Working!$A:$A)), MOD(ROW()-ROW(I$2)+I$1, COUNTA(Working!$A$2:INDEX(Working!$A:$A, MATCH("zzz", Working!$A:$A)))) + 1))</f>
        <v/>
      </c>
      <c r="J156" t="str" cm="1">
        <f t="array" ref="J156">IF(Working!$A156="","",INDEX(Working!$A$2:INDEX(Working!$A:$A, MATCH("zzz", Working!$A:$A)), MOD(ROW()-ROW(J$2)+J$1, COUNTA(Working!$A$2:INDEX(Working!$A:$A, MATCH("zzz", Working!$A:$A)))) + 1))</f>
        <v/>
      </c>
      <c r="K156" t="str" cm="1">
        <f t="array" ref="K156">IF(Working!$A156="","",INDEX(Working!$A$2:INDEX(Working!$A:$A, MATCH("zzz", Working!$A:$A)), MOD(ROW()-ROW(K$2)+K$1, COUNTA(Working!$A$2:INDEX(Working!$A:$A, MATCH("zzz", Working!$A:$A)))) + 1))</f>
        <v/>
      </c>
      <c r="L156" t="str" cm="1">
        <f t="array" ref="L156">IF(Working!$A156="","",INDEX(Working!$A$2:INDEX(Working!$A:$A, MATCH("zzz", Working!$A:$A)), MOD(ROW()-ROW(L$2)+L$1, COUNTA(Working!$A$2:INDEX(Working!$A:$A, MATCH("zzz", Working!$A:$A)))) + 1))</f>
        <v/>
      </c>
    </row>
    <row r="157" spans="3:12" ht="15.75" customHeight="1" x14ac:dyDescent="0.2">
      <c r="C157" t="str" cm="1">
        <f t="array" ref="C157">IF(Working!$A157="","",INDEX(Working!$A$2:INDEX(Working!$A:$A, MATCH("zzz", Working!$A:$A)), MOD(ROW()-ROW(C$2)+C$1, COUNTA(Working!$A$2:INDEX(Working!$A:$A, MATCH("zzz", Working!$A:$A)))) + 1))</f>
        <v/>
      </c>
      <c r="D157" t="str" cm="1">
        <f t="array" ref="D157">IF(Working!$A157="","",INDEX(Working!$A$2:INDEX(Working!$A:$A, MATCH("zzz", Working!$A:$A)), MOD(ROW()-ROW(D$2)+D$1, COUNTA(Working!$A$2:INDEX(Working!$A:$A, MATCH("zzz", Working!$A:$A)))) + 1))</f>
        <v/>
      </c>
      <c r="E157" t="str" cm="1">
        <f t="array" ref="E157">IF(Working!$A157="","",INDEX(Working!$A$2:INDEX(Working!$A:$A, MATCH("zzz", Working!$A:$A)), MOD(ROW()-ROW(E$2)+E$1, COUNTA(Working!$A$2:INDEX(Working!$A:$A, MATCH("zzz", Working!$A:$A)))) + 1))</f>
        <v/>
      </c>
      <c r="F157" t="str" cm="1">
        <f t="array" ref="F157">IF(Working!$A157="","",INDEX(Working!$A$2:INDEX(Working!$A:$A, MATCH("zzz", Working!$A:$A)), MOD(ROW()-ROW(F$2)+F$1, COUNTA(Working!$A$2:INDEX(Working!$A:$A, MATCH("zzz", Working!$A:$A)))) + 1))</f>
        <v/>
      </c>
      <c r="G157" t="str" cm="1">
        <f t="array" ref="G157">IF(Working!$A157="","",INDEX(Working!$A$2:INDEX(Working!$A:$A, MATCH("zzz", Working!$A:$A)), MOD(ROW()-ROW(G$2)+G$1, COUNTA(Working!$A$2:INDEX(Working!$A:$A, MATCH("zzz", Working!$A:$A)))) + 1))</f>
        <v/>
      </c>
      <c r="H157" t="str" cm="1">
        <f t="array" ref="H157">IF(Working!$A157="","",INDEX(Working!$A$2:INDEX(Working!$A:$A, MATCH("zzz", Working!$A:$A)), MOD(ROW()-ROW(H$2)+H$1, COUNTA(Working!$A$2:INDEX(Working!$A:$A, MATCH("zzz", Working!$A:$A)))) + 1))</f>
        <v/>
      </c>
      <c r="I157" t="str" cm="1">
        <f t="array" ref="I157">IF(Working!$A157="","",INDEX(Working!$A$2:INDEX(Working!$A:$A, MATCH("zzz", Working!$A:$A)), MOD(ROW()-ROW(I$2)+I$1, COUNTA(Working!$A$2:INDEX(Working!$A:$A, MATCH("zzz", Working!$A:$A)))) + 1))</f>
        <v/>
      </c>
      <c r="J157" t="str" cm="1">
        <f t="array" ref="J157">IF(Working!$A157="","",INDEX(Working!$A$2:INDEX(Working!$A:$A, MATCH("zzz", Working!$A:$A)), MOD(ROW()-ROW(J$2)+J$1, COUNTA(Working!$A$2:INDEX(Working!$A:$A, MATCH("zzz", Working!$A:$A)))) + 1))</f>
        <v/>
      </c>
      <c r="K157" t="str" cm="1">
        <f t="array" ref="K157">IF(Working!$A157="","",INDEX(Working!$A$2:INDEX(Working!$A:$A, MATCH("zzz", Working!$A:$A)), MOD(ROW()-ROW(K$2)+K$1, COUNTA(Working!$A$2:INDEX(Working!$A:$A, MATCH("zzz", Working!$A:$A)))) + 1))</f>
        <v/>
      </c>
      <c r="L157" t="str" cm="1">
        <f t="array" ref="L157">IF(Working!$A157="","",INDEX(Working!$A$2:INDEX(Working!$A:$A, MATCH("zzz", Working!$A:$A)), MOD(ROW()-ROW(L$2)+L$1, COUNTA(Working!$A$2:INDEX(Working!$A:$A, MATCH("zzz", Working!$A:$A)))) + 1))</f>
        <v/>
      </c>
    </row>
    <row r="158" spans="3:12" ht="15.75" customHeight="1" x14ac:dyDescent="0.2">
      <c r="C158" t="str" cm="1">
        <f t="array" ref="C158">IF(Working!$A158="","",INDEX(Working!$A$2:INDEX(Working!$A:$A, MATCH("zzz", Working!$A:$A)), MOD(ROW()-ROW(C$2)+C$1, COUNTA(Working!$A$2:INDEX(Working!$A:$A, MATCH("zzz", Working!$A:$A)))) + 1))</f>
        <v/>
      </c>
      <c r="D158" t="str" cm="1">
        <f t="array" ref="D158">IF(Working!$A158="","",INDEX(Working!$A$2:INDEX(Working!$A:$A, MATCH("zzz", Working!$A:$A)), MOD(ROW()-ROW(D$2)+D$1, COUNTA(Working!$A$2:INDEX(Working!$A:$A, MATCH("zzz", Working!$A:$A)))) + 1))</f>
        <v/>
      </c>
      <c r="E158" t="str" cm="1">
        <f t="array" ref="E158">IF(Working!$A158="","",INDEX(Working!$A$2:INDEX(Working!$A:$A, MATCH("zzz", Working!$A:$A)), MOD(ROW()-ROW(E$2)+E$1, COUNTA(Working!$A$2:INDEX(Working!$A:$A, MATCH("zzz", Working!$A:$A)))) + 1))</f>
        <v/>
      </c>
      <c r="F158" t="str" cm="1">
        <f t="array" ref="F158">IF(Working!$A158="","",INDEX(Working!$A$2:INDEX(Working!$A:$A, MATCH("zzz", Working!$A:$A)), MOD(ROW()-ROW(F$2)+F$1, COUNTA(Working!$A$2:INDEX(Working!$A:$A, MATCH("zzz", Working!$A:$A)))) + 1))</f>
        <v/>
      </c>
      <c r="G158" t="str" cm="1">
        <f t="array" ref="G158">IF(Working!$A158="","",INDEX(Working!$A$2:INDEX(Working!$A:$A, MATCH("zzz", Working!$A:$A)), MOD(ROW()-ROW(G$2)+G$1, COUNTA(Working!$A$2:INDEX(Working!$A:$A, MATCH("zzz", Working!$A:$A)))) + 1))</f>
        <v/>
      </c>
      <c r="H158" t="str" cm="1">
        <f t="array" ref="H158">IF(Working!$A158="","",INDEX(Working!$A$2:INDEX(Working!$A:$A, MATCH("zzz", Working!$A:$A)), MOD(ROW()-ROW(H$2)+H$1, COUNTA(Working!$A$2:INDEX(Working!$A:$A, MATCH("zzz", Working!$A:$A)))) + 1))</f>
        <v/>
      </c>
      <c r="I158" t="str" cm="1">
        <f t="array" ref="I158">IF(Working!$A158="","",INDEX(Working!$A$2:INDEX(Working!$A:$A, MATCH("zzz", Working!$A:$A)), MOD(ROW()-ROW(I$2)+I$1, COUNTA(Working!$A$2:INDEX(Working!$A:$A, MATCH("zzz", Working!$A:$A)))) + 1))</f>
        <v/>
      </c>
      <c r="J158" t="str" cm="1">
        <f t="array" ref="J158">IF(Working!$A158="","",INDEX(Working!$A$2:INDEX(Working!$A:$A, MATCH("zzz", Working!$A:$A)), MOD(ROW()-ROW(J$2)+J$1, COUNTA(Working!$A$2:INDEX(Working!$A:$A, MATCH("zzz", Working!$A:$A)))) + 1))</f>
        <v/>
      </c>
      <c r="K158" t="str" cm="1">
        <f t="array" ref="K158">IF(Working!$A158="","",INDEX(Working!$A$2:INDEX(Working!$A:$A, MATCH("zzz", Working!$A:$A)), MOD(ROW()-ROW(K$2)+K$1, COUNTA(Working!$A$2:INDEX(Working!$A:$A, MATCH("zzz", Working!$A:$A)))) + 1))</f>
        <v/>
      </c>
      <c r="L158" t="str" cm="1">
        <f t="array" ref="L158">IF(Working!$A158="","",INDEX(Working!$A$2:INDEX(Working!$A:$A, MATCH("zzz", Working!$A:$A)), MOD(ROW()-ROW(L$2)+L$1, COUNTA(Working!$A$2:INDEX(Working!$A:$A, MATCH("zzz", Working!$A:$A)))) + 1))</f>
        <v/>
      </c>
    </row>
    <row r="159" spans="3:12" ht="15.75" customHeight="1" x14ac:dyDescent="0.2">
      <c r="C159" t="str" cm="1">
        <f t="array" ref="C159">IF(Working!$A159="","",INDEX(Working!$A$2:INDEX(Working!$A:$A, MATCH("zzz", Working!$A:$A)), MOD(ROW()-ROW(C$2)+C$1, COUNTA(Working!$A$2:INDEX(Working!$A:$A, MATCH("zzz", Working!$A:$A)))) + 1))</f>
        <v/>
      </c>
      <c r="D159" t="str" cm="1">
        <f t="array" ref="D159">IF(Working!$A159="","",INDEX(Working!$A$2:INDEX(Working!$A:$A, MATCH("zzz", Working!$A:$A)), MOD(ROW()-ROW(D$2)+D$1, COUNTA(Working!$A$2:INDEX(Working!$A:$A, MATCH("zzz", Working!$A:$A)))) + 1))</f>
        <v/>
      </c>
      <c r="E159" t="str" cm="1">
        <f t="array" ref="E159">IF(Working!$A159="","",INDEX(Working!$A$2:INDEX(Working!$A:$A, MATCH("zzz", Working!$A:$A)), MOD(ROW()-ROW(E$2)+E$1, COUNTA(Working!$A$2:INDEX(Working!$A:$A, MATCH("zzz", Working!$A:$A)))) + 1))</f>
        <v/>
      </c>
      <c r="F159" t="str" cm="1">
        <f t="array" ref="F159">IF(Working!$A159="","",INDEX(Working!$A$2:INDEX(Working!$A:$A, MATCH("zzz", Working!$A:$A)), MOD(ROW()-ROW(F$2)+F$1, COUNTA(Working!$A$2:INDEX(Working!$A:$A, MATCH("zzz", Working!$A:$A)))) + 1))</f>
        <v/>
      </c>
      <c r="G159" t="str" cm="1">
        <f t="array" ref="G159">IF(Working!$A159="","",INDEX(Working!$A$2:INDEX(Working!$A:$A, MATCH("zzz", Working!$A:$A)), MOD(ROW()-ROW(G$2)+G$1, COUNTA(Working!$A$2:INDEX(Working!$A:$A, MATCH("zzz", Working!$A:$A)))) + 1))</f>
        <v/>
      </c>
      <c r="H159" t="str" cm="1">
        <f t="array" ref="H159">IF(Working!$A159="","",INDEX(Working!$A$2:INDEX(Working!$A:$A, MATCH("zzz", Working!$A:$A)), MOD(ROW()-ROW(H$2)+H$1, COUNTA(Working!$A$2:INDEX(Working!$A:$A, MATCH("zzz", Working!$A:$A)))) + 1))</f>
        <v/>
      </c>
      <c r="I159" t="str" cm="1">
        <f t="array" ref="I159">IF(Working!$A159="","",INDEX(Working!$A$2:INDEX(Working!$A:$A, MATCH("zzz", Working!$A:$A)), MOD(ROW()-ROW(I$2)+I$1, COUNTA(Working!$A$2:INDEX(Working!$A:$A, MATCH("zzz", Working!$A:$A)))) + 1))</f>
        <v/>
      </c>
      <c r="J159" t="str" cm="1">
        <f t="array" ref="J159">IF(Working!$A159="","",INDEX(Working!$A$2:INDEX(Working!$A:$A, MATCH("zzz", Working!$A:$A)), MOD(ROW()-ROW(J$2)+J$1, COUNTA(Working!$A$2:INDEX(Working!$A:$A, MATCH("zzz", Working!$A:$A)))) + 1))</f>
        <v/>
      </c>
      <c r="K159" t="str" cm="1">
        <f t="array" ref="K159">IF(Working!$A159="","",INDEX(Working!$A$2:INDEX(Working!$A:$A, MATCH("zzz", Working!$A:$A)), MOD(ROW()-ROW(K$2)+K$1, COUNTA(Working!$A$2:INDEX(Working!$A:$A, MATCH("zzz", Working!$A:$A)))) + 1))</f>
        <v/>
      </c>
      <c r="L159" t="str" cm="1">
        <f t="array" ref="L159">IF(Working!$A159="","",INDEX(Working!$A$2:INDEX(Working!$A:$A, MATCH("zzz", Working!$A:$A)), MOD(ROW()-ROW(L$2)+L$1, COUNTA(Working!$A$2:INDEX(Working!$A:$A, MATCH("zzz", Working!$A:$A)))) + 1))</f>
        <v/>
      </c>
    </row>
    <row r="160" spans="3:12" ht="15.75" customHeight="1" x14ac:dyDescent="0.2">
      <c r="C160" t="str" cm="1">
        <f t="array" ref="C160">IF(Working!$A160="","",INDEX(Working!$A$2:INDEX(Working!$A:$A, MATCH("zzz", Working!$A:$A)), MOD(ROW()-ROW(C$2)+C$1, COUNTA(Working!$A$2:INDEX(Working!$A:$A, MATCH("zzz", Working!$A:$A)))) + 1))</f>
        <v/>
      </c>
      <c r="D160" t="str" cm="1">
        <f t="array" ref="D160">IF(Working!$A160="","",INDEX(Working!$A$2:INDEX(Working!$A:$A, MATCH("zzz", Working!$A:$A)), MOD(ROW()-ROW(D$2)+D$1, COUNTA(Working!$A$2:INDEX(Working!$A:$A, MATCH("zzz", Working!$A:$A)))) + 1))</f>
        <v/>
      </c>
      <c r="E160" t="str" cm="1">
        <f t="array" ref="E160">IF(Working!$A160="","",INDEX(Working!$A$2:INDEX(Working!$A:$A, MATCH("zzz", Working!$A:$A)), MOD(ROW()-ROW(E$2)+E$1, COUNTA(Working!$A$2:INDEX(Working!$A:$A, MATCH("zzz", Working!$A:$A)))) + 1))</f>
        <v/>
      </c>
      <c r="F160" t="str" cm="1">
        <f t="array" ref="F160">IF(Working!$A160="","",INDEX(Working!$A$2:INDEX(Working!$A:$A, MATCH("zzz", Working!$A:$A)), MOD(ROW()-ROW(F$2)+F$1, COUNTA(Working!$A$2:INDEX(Working!$A:$A, MATCH("zzz", Working!$A:$A)))) + 1))</f>
        <v/>
      </c>
      <c r="G160" t="str" cm="1">
        <f t="array" ref="G160">IF(Working!$A160="","",INDEX(Working!$A$2:INDEX(Working!$A:$A, MATCH("zzz", Working!$A:$A)), MOD(ROW()-ROW(G$2)+G$1, COUNTA(Working!$A$2:INDEX(Working!$A:$A, MATCH("zzz", Working!$A:$A)))) + 1))</f>
        <v/>
      </c>
      <c r="H160" t="str" cm="1">
        <f t="array" ref="H160">IF(Working!$A160="","",INDEX(Working!$A$2:INDEX(Working!$A:$A, MATCH("zzz", Working!$A:$A)), MOD(ROW()-ROW(H$2)+H$1, COUNTA(Working!$A$2:INDEX(Working!$A:$A, MATCH("zzz", Working!$A:$A)))) + 1))</f>
        <v/>
      </c>
      <c r="I160" t="str" cm="1">
        <f t="array" ref="I160">IF(Working!$A160="","",INDEX(Working!$A$2:INDEX(Working!$A:$A, MATCH("zzz", Working!$A:$A)), MOD(ROW()-ROW(I$2)+I$1, COUNTA(Working!$A$2:INDEX(Working!$A:$A, MATCH("zzz", Working!$A:$A)))) + 1))</f>
        <v/>
      </c>
      <c r="J160" t="str" cm="1">
        <f t="array" ref="J160">IF(Working!$A160="","",INDEX(Working!$A$2:INDEX(Working!$A:$A, MATCH("zzz", Working!$A:$A)), MOD(ROW()-ROW(J$2)+J$1, COUNTA(Working!$A$2:INDEX(Working!$A:$A, MATCH("zzz", Working!$A:$A)))) + 1))</f>
        <v/>
      </c>
      <c r="K160" t="str" cm="1">
        <f t="array" ref="K160">IF(Working!$A160="","",INDEX(Working!$A$2:INDEX(Working!$A:$A, MATCH("zzz", Working!$A:$A)), MOD(ROW()-ROW(K$2)+K$1, COUNTA(Working!$A$2:INDEX(Working!$A:$A, MATCH("zzz", Working!$A:$A)))) + 1))</f>
        <v/>
      </c>
      <c r="L160" t="str" cm="1">
        <f t="array" ref="L160">IF(Working!$A160="","",INDEX(Working!$A$2:INDEX(Working!$A:$A, MATCH("zzz", Working!$A:$A)), MOD(ROW()-ROW(L$2)+L$1, COUNTA(Working!$A$2:INDEX(Working!$A:$A, MATCH("zzz", Working!$A:$A)))) + 1))</f>
        <v/>
      </c>
    </row>
    <row r="161" spans="3:12" ht="15.75" customHeight="1" x14ac:dyDescent="0.2">
      <c r="C161" t="str" cm="1">
        <f t="array" ref="C161">IF(Working!$A161="","",INDEX(Working!$A$2:INDEX(Working!$A:$A, MATCH("zzz", Working!$A:$A)), MOD(ROW()-ROW(C$2)+C$1, COUNTA(Working!$A$2:INDEX(Working!$A:$A, MATCH("zzz", Working!$A:$A)))) + 1))</f>
        <v/>
      </c>
      <c r="D161" t="str" cm="1">
        <f t="array" ref="D161">IF(Working!$A161="","",INDEX(Working!$A$2:INDEX(Working!$A:$A, MATCH("zzz", Working!$A:$A)), MOD(ROW()-ROW(D$2)+D$1, COUNTA(Working!$A$2:INDEX(Working!$A:$A, MATCH("zzz", Working!$A:$A)))) + 1))</f>
        <v/>
      </c>
      <c r="E161" t="str" cm="1">
        <f t="array" ref="E161">IF(Working!$A161="","",INDEX(Working!$A$2:INDEX(Working!$A:$A, MATCH("zzz", Working!$A:$A)), MOD(ROW()-ROW(E$2)+E$1, COUNTA(Working!$A$2:INDEX(Working!$A:$A, MATCH("zzz", Working!$A:$A)))) + 1))</f>
        <v/>
      </c>
      <c r="F161" t="str" cm="1">
        <f t="array" ref="F161">IF(Working!$A161="","",INDEX(Working!$A$2:INDEX(Working!$A:$A, MATCH("zzz", Working!$A:$A)), MOD(ROW()-ROW(F$2)+F$1, COUNTA(Working!$A$2:INDEX(Working!$A:$A, MATCH("zzz", Working!$A:$A)))) + 1))</f>
        <v/>
      </c>
      <c r="G161" t="str" cm="1">
        <f t="array" ref="G161">IF(Working!$A161="","",INDEX(Working!$A$2:INDEX(Working!$A:$A, MATCH("zzz", Working!$A:$A)), MOD(ROW()-ROW(G$2)+G$1, COUNTA(Working!$A$2:INDEX(Working!$A:$A, MATCH("zzz", Working!$A:$A)))) + 1))</f>
        <v/>
      </c>
      <c r="H161" t="str" cm="1">
        <f t="array" ref="H161">IF(Working!$A161="","",INDEX(Working!$A$2:INDEX(Working!$A:$A, MATCH("zzz", Working!$A:$A)), MOD(ROW()-ROW(H$2)+H$1, COUNTA(Working!$A$2:INDEX(Working!$A:$A, MATCH("zzz", Working!$A:$A)))) + 1))</f>
        <v/>
      </c>
      <c r="I161" t="str" cm="1">
        <f t="array" ref="I161">IF(Working!$A161="","",INDEX(Working!$A$2:INDEX(Working!$A:$A, MATCH("zzz", Working!$A:$A)), MOD(ROW()-ROW(I$2)+I$1, COUNTA(Working!$A$2:INDEX(Working!$A:$A, MATCH("zzz", Working!$A:$A)))) + 1))</f>
        <v/>
      </c>
      <c r="J161" t="str" cm="1">
        <f t="array" ref="J161">IF(Working!$A161="","",INDEX(Working!$A$2:INDEX(Working!$A:$A, MATCH("zzz", Working!$A:$A)), MOD(ROW()-ROW(J$2)+J$1, COUNTA(Working!$A$2:INDEX(Working!$A:$A, MATCH("zzz", Working!$A:$A)))) + 1))</f>
        <v/>
      </c>
      <c r="K161" t="str" cm="1">
        <f t="array" ref="K161">IF(Working!$A161="","",INDEX(Working!$A$2:INDEX(Working!$A:$A, MATCH("zzz", Working!$A:$A)), MOD(ROW()-ROW(K$2)+K$1, COUNTA(Working!$A$2:INDEX(Working!$A:$A, MATCH("zzz", Working!$A:$A)))) + 1))</f>
        <v/>
      </c>
      <c r="L161" t="str" cm="1">
        <f t="array" ref="L161">IF(Working!$A161="","",INDEX(Working!$A$2:INDEX(Working!$A:$A, MATCH("zzz", Working!$A:$A)), MOD(ROW()-ROW(L$2)+L$1, COUNTA(Working!$A$2:INDEX(Working!$A:$A, MATCH("zzz", Working!$A:$A)))) + 1))</f>
        <v/>
      </c>
    </row>
    <row r="162" spans="3:12" ht="15.75" customHeight="1" x14ac:dyDescent="0.2">
      <c r="C162" t="str" cm="1">
        <f t="array" ref="C162">IF(Working!$A162="","",INDEX(Working!$A$2:INDEX(Working!$A:$A, MATCH("zzz", Working!$A:$A)), MOD(ROW()-ROW(C$2)+C$1, COUNTA(Working!$A$2:INDEX(Working!$A:$A, MATCH("zzz", Working!$A:$A)))) + 1))</f>
        <v/>
      </c>
      <c r="D162" t="str" cm="1">
        <f t="array" ref="D162">IF(Working!$A162="","",INDEX(Working!$A$2:INDEX(Working!$A:$A, MATCH("zzz", Working!$A:$A)), MOD(ROW()-ROW(D$2)+D$1, COUNTA(Working!$A$2:INDEX(Working!$A:$A, MATCH("zzz", Working!$A:$A)))) + 1))</f>
        <v/>
      </c>
      <c r="E162" t="str" cm="1">
        <f t="array" ref="E162">IF(Working!$A162="","",INDEX(Working!$A$2:INDEX(Working!$A:$A, MATCH("zzz", Working!$A:$A)), MOD(ROW()-ROW(E$2)+E$1, COUNTA(Working!$A$2:INDEX(Working!$A:$A, MATCH("zzz", Working!$A:$A)))) + 1))</f>
        <v/>
      </c>
      <c r="F162" t="str" cm="1">
        <f t="array" ref="F162">IF(Working!$A162="","",INDEX(Working!$A$2:INDEX(Working!$A:$A, MATCH("zzz", Working!$A:$A)), MOD(ROW()-ROW(F$2)+F$1, COUNTA(Working!$A$2:INDEX(Working!$A:$A, MATCH("zzz", Working!$A:$A)))) + 1))</f>
        <v/>
      </c>
      <c r="G162" t="str" cm="1">
        <f t="array" ref="G162">IF(Working!$A162="","",INDEX(Working!$A$2:INDEX(Working!$A:$A, MATCH("zzz", Working!$A:$A)), MOD(ROW()-ROW(G$2)+G$1, COUNTA(Working!$A$2:INDEX(Working!$A:$A, MATCH("zzz", Working!$A:$A)))) + 1))</f>
        <v/>
      </c>
      <c r="H162" t="str" cm="1">
        <f t="array" ref="H162">IF(Working!$A162="","",INDEX(Working!$A$2:INDEX(Working!$A:$A, MATCH("zzz", Working!$A:$A)), MOD(ROW()-ROW(H$2)+H$1, COUNTA(Working!$A$2:INDEX(Working!$A:$A, MATCH("zzz", Working!$A:$A)))) + 1))</f>
        <v/>
      </c>
      <c r="I162" t="str" cm="1">
        <f t="array" ref="I162">IF(Working!$A162="","",INDEX(Working!$A$2:INDEX(Working!$A:$A, MATCH("zzz", Working!$A:$A)), MOD(ROW()-ROW(I$2)+I$1, COUNTA(Working!$A$2:INDEX(Working!$A:$A, MATCH("zzz", Working!$A:$A)))) + 1))</f>
        <v/>
      </c>
      <c r="J162" t="str" cm="1">
        <f t="array" ref="J162">IF(Working!$A162="","",INDEX(Working!$A$2:INDEX(Working!$A:$A, MATCH("zzz", Working!$A:$A)), MOD(ROW()-ROW(J$2)+J$1, COUNTA(Working!$A$2:INDEX(Working!$A:$A, MATCH("zzz", Working!$A:$A)))) + 1))</f>
        <v/>
      </c>
      <c r="K162" t="str" cm="1">
        <f t="array" ref="K162">IF(Working!$A162="","",INDEX(Working!$A$2:INDEX(Working!$A:$A, MATCH("zzz", Working!$A:$A)), MOD(ROW()-ROW(K$2)+K$1, COUNTA(Working!$A$2:INDEX(Working!$A:$A, MATCH("zzz", Working!$A:$A)))) + 1))</f>
        <v/>
      </c>
      <c r="L162" t="str" cm="1">
        <f t="array" ref="L162">IF(Working!$A162="","",INDEX(Working!$A$2:INDEX(Working!$A:$A, MATCH("zzz", Working!$A:$A)), MOD(ROW()-ROW(L$2)+L$1, COUNTA(Working!$A$2:INDEX(Working!$A:$A, MATCH("zzz", Working!$A:$A)))) + 1))</f>
        <v/>
      </c>
    </row>
    <row r="163" spans="3:12" ht="15.75" customHeight="1" x14ac:dyDescent="0.2">
      <c r="C163" t="str" cm="1">
        <f t="array" ref="C163">IF(Working!$A163="","",INDEX(Working!$A$2:INDEX(Working!$A:$A, MATCH("zzz", Working!$A:$A)), MOD(ROW()-ROW(C$2)+C$1, COUNTA(Working!$A$2:INDEX(Working!$A:$A, MATCH("zzz", Working!$A:$A)))) + 1))</f>
        <v/>
      </c>
      <c r="D163" t="str" cm="1">
        <f t="array" ref="D163">IF(Working!$A163="","",INDEX(Working!$A$2:INDEX(Working!$A:$A, MATCH("zzz", Working!$A:$A)), MOD(ROW()-ROW(D$2)+D$1, COUNTA(Working!$A$2:INDEX(Working!$A:$A, MATCH("zzz", Working!$A:$A)))) + 1))</f>
        <v/>
      </c>
      <c r="E163" t="str" cm="1">
        <f t="array" ref="E163">IF(Working!$A163="","",INDEX(Working!$A$2:INDEX(Working!$A:$A, MATCH("zzz", Working!$A:$A)), MOD(ROW()-ROW(E$2)+E$1, COUNTA(Working!$A$2:INDEX(Working!$A:$A, MATCH("zzz", Working!$A:$A)))) + 1))</f>
        <v/>
      </c>
      <c r="F163" t="str" cm="1">
        <f t="array" ref="F163">IF(Working!$A163="","",INDEX(Working!$A$2:INDEX(Working!$A:$A, MATCH("zzz", Working!$A:$A)), MOD(ROW()-ROW(F$2)+F$1, COUNTA(Working!$A$2:INDEX(Working!$A:$A, MATCH("zzz", Working!$A:$A)))) + 1))</f>
        <v/>
      </c>
      <c r="G163" t="str" cm="1">
        <f t="array" ref="G163">IF(Working!$A163="","",INDEX(Working!$A$2:INDEX(Working!$A:$A, MATCH("zzz", Working!$A:$A)), MOD(ROW()-ROW(G$2)+G$1, COUNTA(Working!$A$2:INDEX(Working!$A:$A, MATCH("zzz", Working!$A:$A)))) + 1))</f>
        <v/>
      </c>
      <c r="H163" t="str" cm="1">
        <f t="array" ref="H163">IF(Working!$A163="","",INDEX(Working!$A$2:INDEX(Working!$A:$A, MATCH("zzz", Working!$A:$A)), MOD(ROW()-ROW(H$2)+H$1, COUNTA(Working!$A$2:INDEX(Working!$A:$A, MATCH("zzz", Working!$A:$A)))) + 1))</f>
        <v/>
      </c>
      <c r="I163" t="str" cm="1">
        <f t="array" ref="I163">IF(Working!$A163="","",INDEX(Working!$A$2:INDEX(Working!$A:$A, MATCH("zzz", Working!$A:$A)), MOD(ROW()-ROW(I$2)+I$1, COUNTA(Working!$A$2:INDEX(Working!$A:$A, MATCH("zzz", Working!$A:$A)))) + 1))</f>
        <v/>
      </c>
      <c r="J163" t="str" cm="1">
        <f t="array" ref="J163">IF(Working!$A163="","",INDEX(Working!$A$2:INDEX(Working!$A:$A, MATCH("zzz", Working!$A:$A)), MOD(ROW()-ROW(J$2)+J$1, COUNTA(Working!$A$2:INDEX(Working!$A:$A, MATCH("zzz", Working!$A:$A)))) + 1))</f>
        <v/>
      </c>
      <c r="K163" t="str" cm="1">
        <f t="array" ref="K163">IF(Working!$A163="","",INDEX(Working!$A$2:INDEX(Working!$A:$A, MATCH("zzz", Working!$A:$A)), MOD(ROW()-ROW(K$2)+K$1, COUNTA(Working!$A$2:INDEX(Working!$A:$A, MATCH("zzz", Working!$A:$A)))) + 1))</f>
        <v/>
      </c>
      <c r="L163" t="str" cm="1">
        <f t="array" ref="L163">IF(Working!$A163="","",INDEX(Working!$A$2:INDEX(Working!$A:$A, MATCH("zzz", Working!$A:$A)), MOD(ROW()-ROW(L$2)+L$1, COUNTA(Working!$A$2:INDEX(Working!$A:$A, MATCH("zzz", Working!$A:$A)))) + 1))</f>
        <v/>
      </c>
    </row>
    <row r="164" spans="3:12" ht="15.75" customHeight="1" x14ac:dyDescent="0.2">
      <c r="C164" t="str" cm="1">
        <f t="array" ref="C164">IF(Working!$A164="","",INDEX(Working!$A$2:INDEX(Working!$A:$A, MATCH("zzz", Working!$A:$A)), MOD(ROW()-ROW(C$2)+C$1, COUNTA(Working!$A$2:INDEX(Working!$A:$A, MATCH("zzz", Working!$A:$A)))) + 1))</f>
        <v/>
      </c>
      <c r="D164" t="str" cm="1">
        <f t="array" ref="D164">IF(Working!$A164="","",INDEX(Working!$A$2:INDEX(Working!$A:$A, MATCH("zzz", Working!$A:$A)), MOD(ROW()-ROW(D$2)+D$1, COUNTA(Working!$A$2:INDEX(Working!$A:$A, MATCH("zzz", Working!$A:$A)))) + 1))</f>
        <v/>
      </c>
      <c r="E164" t="str" cm="1">
        <f t="array" ref="E164">IF(Working!$A164="","",INDEX(Working!$A$2:INDEX(Working!$A:$A, MATCH("zzz", Working!$A:$A)), MOD(ROW()-ROW(E$2)+E$1, COUNTA(Working!$A$2:INDEX(Working!$A:$A, MATCH("zzz", Working!$A:$A)))) + 1))</f>
        <v/>
      </c>
      <c r="F164" t="str" cm="1">
        <f t="array" ref="F164">IF(Working!$A164="","",INDEX(Working!$A$2:INDEX(Working!$A:$A, MATCH("zzz", Working!$A:$A)), MOD(ROW()-ROW(F$2)+F$1, COUNTA(Working!$A$2:INDEX(Working!$A:$A, MATCH("zzz", Working!$A:$A)))) + 1))</f>
        <v/>
      </c>
      <c r="G164" t="str" cm="1">
        <f t="array" ref="G164">IF(Working!$A164="","",INDEX(Working!$A$2:INDEX(Working!$A:$A, MATCH("zzz", Working!$A:$A)), MOD(ROW()-ROW(G$2)+G$1, COUNTA(Working!$A$2:INDEX(Working!$A:$A, MATCH("zzz", Working!$A:$A)))) + 1))</f>
        <v/>
      </c>
      <c r="H164" t="str" cm="1">
        <f t="array" ref="H164">IF(Working!$A164="","",INDEX(Working!$A$2:INDEX(Working!$A:$A, MATCH("zzz", Working!$A:$A)), MOD(ROW()-ROW(H$2)+H$1, COUNTA(Working!$A$2:INDEX(Working!$A:$A, MATCH("zzz", Working!$A:$A)))) + 1))</f>
        <v/>
      </c>
      <c r="I164" t="str" cm="1">
        <f t="array" ref="I164">IF(Working!$A164="","",INDEX(Working!$A$2:INDEX(Working!$A:$A, MATCH("zzz", Working!$A:$A)), MOD(ROW()-ROW(I$2)+I$1, COUNTA(Working!$A$2:INDEX(Working!$A:$A, MATCH("zzz", Working!$A:$A)))) + 1))</f>
        <v/>
      </c>
      <c r="J164" t="str" cm="1">
        <f t="array" ref="J164">IF(Working!$A164="","",INDEX(Working!$A$2:INDEX(Working!$A:$A, MATCH("zzz", Working!$A:$A)), MOD(ROW()-ROW(J$2)+J$1, COUNTA(Working!$A$2:INDEX(Working!$A:$A, MATCH("zzz", Working!$A:$A)))) + 1))</f>
        <v/>
      </c>
      <c r="K164" t="str" cm="1">
        <f t="array" ref="K164">IF(Working!$A164="","",INDEX(Working!$A$2:INDEX(Working!$A:$A, MATCH("zzz", Working!$A:$A)), MOD(ROW()-ROW(K$2)+K$1, COUNTA(Working!$A$2:INDEX(Working!$A:$A, MATCH("zzz", Working!$A:$A)))) + 1))</f>
        <v/>
      </c>
      <c r="L164" t="str" cm="1">
        <f t="array" ref="L164">IF(Working!$A164="","",INDEX(Working!$A$2:INDEX(Working!$A:$A, MATCH("zzz", Working!$A:$A)), MOD(ROW()-ROW(L$2)+L$1, COUNTA(Working!$A$2:INDEX(Working!$A:$A, MATCH("zzz", Working!$A:$A)))) + 1))</f>
        <v/>
      </c>
    </row>
    <row r="165" spans="3:12" ht="15.75" customHeight="1" x14ac:dyDescent="0.2">
      <c r="C165" t="str" cm="1">
        <f t="array" ref="C165">IF(Working!$A165="","",INDEX(Working!$A$2:INDEX(Working!$A:$A, MATCH("zzz", Working!$A:$A)), MOD(ROW()-ROW(C$2)+C$1, COUNTA(Working!$A$2:INDEX(Working!$A:$A, MATCH("zzz", Working!$A:$A)))) + 1))</f>
        <v/>
      </c>
      <c r="D165" t="str" cm="1">
        <f t="array" ref="D165">IF(Working!$A165="","",INDEX(Working!$A$2:INDEX(Working!$A:$A, MATCH("zzz", Working!$A:$A)), MOD(ROW()-ROW(D$2)+D$1, COUNTA(Working!$A$2:INDEX(Working!$A:$A, MATCH("zzz", Working!$A:$A)))) + 1))</f>
        <v/>
      </c>
      <c r="E165" t="str" cm="1">
        <f t="array" ref="E165">IF(Working!$A165="","",INDEX(Working!$A$2:INDEX(Working!$A:$A, MATCH("zzz", Working!$A:$A)), MOD(ROW()-ROW(E$2)+E$1, COUNTA(Working!$A$2:INDEX(Working!$A:$A, MATCH("zzz", Working!$A:$A)))) + 1))</f>
        <v/>
      </c>
      <c r="F165" t="str" cm="1">
        <f t="array" ref="F165">IF(Working!$A165="","",INDEX(Working!$A$2:INDEX(Working!$A:$A, MATCH("zzz", Working!$A:$A)), MOD(ROW()-ROW(F$2)+F$1, COUNTA(Working!$A$2:INDEX(Working!$A:$A, MATCH("zzz", Working!$A:$A)))) + 1))</f>
        <v/>
      </c>
      <c r="G165" t="str" cm="1">
        <f t="array" ref="G165">IF(Working!$A165="","",INDEX(Working!$A$2:INDEX(Working!$A:$A, MATCH("zzz", Working!$A:$A)), MOD(ROW()-ROW(G$2)+G$1, COUNTA(Working!$A$2:INDEX(Working!$A:$A, MATCH("zzz", Working!$A:$A)))) + 1))</f>
        <v/>
      </c>
      <c r="H165" t="str" cm="1">
        <f t="array" ref="H165">IF(Working!$A165="","",INDEX(Working!$A$2:INDEX(Working!$A:$A, MATCH("zzz", Working!$A:$A)), MOD(ROW()-ROW(H$2)+H$1, COUNTA(Working!$A$2:INDEX(Working!$A:$A, MATCH("zzz", Working!$A:$A)))) + 1))</f>
        <v/>
      </c>
      <c r="I165" t="str" cm="1">
        <f t="array" ref="I165">IF(Working!$A165="","",INDEX(Working!$A$2:INDEX(Working!$A:$A, MATCH("zzz", Working!$A:$A)), MOD(ROW()-ROW(I$2)+I$1, COUNTA(Working!$A$2:INDEX(Working!$A:$A, MATCH("zzz", Working!$A:$A)))) + 1))</f>
        <v/>
      </c>
      <c r="J165" t="str" cm="1">
        <f t="array" ref="J165">IF(Working!$A165="","",INDEX(Working!$A$2:INDEX(Working!$A:$A, MATCH("zzz", Working!$A:$A)), MOD(ROW()-ROW(J$2)+J$1, COUNTA(Working!$A$2:INDEX(Working!$A:$A, MATCH("zzz", Working!$A:$A)))) + 1))</f>
        <v/>
      </c>
      <c r="K165" t="str" cm="1">
        <f t="array" ref="K165">IF(Working!$A165="","",INDEX(Working!$A$2:INDEX(Working!$A:$A, MATCH("zzz", Working!$A:$A)), MOD(ROW()-ROW(K$2)+K$1, COUNTA(Working!$A$2:INDEX(Working!$A:$A, MATCH("zzz", Working!$A:$A)))) + 1))</f>
        <v/>
      </c>
      <c r="L165" t="str" cm="1">
        <f t="array" ref="L165">IF(Working!$A165="","",INDEX(Working!$A$2:INDEX(Working!$A:$A, MATCH("zzz", Working!$A:$A)), MOD(ROW()-ROW(L$2)+L$1, COUNTA(Working!$A$2:INDEX(Working!$A:$A, MATCH("zzz", Working!$A:$A)))) + 1))</f>
        <v/>
      </c>
    </row>
    <row r="166" spans="3:12" ht="15.75" customHeight="1" x14ac:dyDescent="0.2">
      <c r="C166" t="str" cm="1">
        <f t="array" ref="C166">IF(Working!$A166="","",INDEX(Working!$A$2:INDEX(Working!$A:$A, MATCH("zzz", Working!$A:$A)), MOD(ROW()-ROW(C$2)+C$1, COUNTA(Working!$A$2:INDEX(Working!$A:$A, MATCH("zzz", Working!$A:$A)))) + 1))</f>
        <v/>
      </c>
      <c r="D166" t="str" cm="1">
        <f t="array" ref="D166">IF(Working!$A166="","",INDEX(Working!$A$2:INDEX(Working!$A:$A, MATCH("zzz", Working!$A:$A)), MOD(ROW()-ROW(D$2)+D$1, COUNTA(Working!$A$2:INDEX(Working!$A:$A, MATCH("zzz", Working!$A:$A)))) + 1))</f>
        <v/>
      </c>
      <c r="E166" t="str" cm="1">
        <f t="array" ref="E166">IF(Working!$A166="","",INDEX(Working!$A$2:INDEX(Working!$A:$A, MATCH("zzz", Working!$A:$A)), MOD(ROW()-ROW(E$2)+E$1, COUNTA(Working!$A$2:INDEX(Working!$A:$A, MATCH("zzz", Working!$A:$A)))) + 1))</f>
        <v/>
      </c>
      <c r="F166" t="str" cm="1">
        <f t="array" ref="F166">IF(Working!$A166="","",INDEX(Working!$A$2:INDEX(Working!$A:$A, MATCH("zzz", Working!$A:$A)), MOD(ROW()-ROW(F$2)+F$1, COUNTA(Working!$A$2:INDEX(Working!$A:$A, MATCH("zzz", Working!$A:$A)))) + 1))</f>
        <v/>
      </c>
      <c r="G166" t="str" cm="1">
        <f t="array" ref="G166">IF(Working!$A166="","",INDEX(Working!$A$2:INDEX(Working!$A:$A, MATCH("zzz", Working!$A:$A)), MOD(ROW()-ROW(G$2)+G$1, COUNTA(Working!$A$2:INDEX(Working!$A:$A, MATCH("zzz", Working!$A:$A)))) + 1))</f>
        <v/>
      </c>
      <c r="H166" t="str" cm="1">
        <f t="array" ref="H166">IF(Working!$A166="","",INDEX(Working!$A$2:INDEX(Working!$A:$A, MATCH("zzz", Working!$A:$A)), MOD(ROW()-ROW(H$2)+H$1, COUNTA(Working!$A$2:INDEX(Working!$A:$A, MATCH("zzz", Working!$A:$A)))) + 1))</f>
        <v/>
      </c>
      <c r="I166" t="str" cm="1">
        <f t="array" ref="I166">IF(Working!$A166="","",INDEX(Working!$A$2:INDEX(Working!$A:$A, MATCH("zzz", Working!$A:$A)), MOD(ROW()-ROW(I$2)+I$1, COUNTA(Working!$A$2:INDEX(Working!$A:$A, MATCH("zzz", Working!$A:$A)))) + 1))</f>
        <v/>
      </c>
      <c r="J166" t="str" cm="1">
        <f t="array" ref="J166">IF(Working!$A166="","",INDEX(Working!$A$2:INDEX(Working!$A:$A, MATCH("zzz", Working!$A:$A)), MOD(ROW()-ROW(J$2)+J$1, COUNTA(Working!$A$2:INDEX(Working!$A:$A, MATCH("zzz", Working!$A:$A)))) + 1))</f>
        <v/>
      </c>
      <c r="K166" t="str" cm="1">
        <f t="array" ref="K166">IF(Working!$A166="","",INDEX(Working!$A$2:INDEX(Working!$A:$A, MATCH("zzz", Working!$A:$A)), MOD(ROW()-ROW(K$2)+K$1, COUNTA(Working!$A$2:INDEX(Working!$A:$A, MATCH("zzz", Working!$A:$A)))) + 1))</f>
        <v/>
      </c>
      <c r="L166" t="str" cm="1">
        <f t="array" ref="L166">IF(Working!$A166="","",INDEX(Working!$A$2:INDEX(Working!$A:$A, MATCH("zzz", Working!$A:$A)), MOD(ROW()-ROW(L$2)+L$1, COUNTA(Working!$A$2:INDEX(Working!$A:$A, MATCH("zzz", Working!$A:$A)))) + 1))</f>
        <v/>
      </c>
    </row>
    <row r="167" spans="3:12" ht="15.75" customHeight="1" x14ac:dyDescent="0.2">
      <c r="C167" t="str" cm="1">
        <f t="array" ref="C167">IF(Working!$A167="","",INDEX(Working!$A$2:INDEX(Working!$A:$A, MATCH("zzz", Working!$A:$A)), MOD(ROW()-ROW(C$2)+C$1, COUNTA(Working!$A$2:INDEX(Working!$A:$A, MATCH("zzz", Working!$A:$A)))) + 1))</f>
        <v/>
      </c>
      <c r="D167" t="str" cm="1">
        <f t="array" ref="D167">IF(Working!$A167="","",INDEX(Working!$A$2:INDEX(Working!$A:$A, MATCH("zzz", Working!$A:$A)), MOD(ROW()-ROW(D$2)+D$1, COUNTA(Working!$A$2:INDEX(Working!$A:$A, MATCH("zzz", Working!$A:$A)))) + 1))</f>
        <v/>
      </c>
      <c r="E167" t="str" cm="1">
        <f t="array" ref="E167">IF(Working!$A167="","",INDEX(Working!$A$2:INDEX(Working!$A:$A, MATCH("zzz", Working!$A:$A)), MOD(ROW()-ROW(E$2)+E$1, COUNTA(Working!$A$2:INDEX(Working!$A:$A, MATCH("zzz", Working!$A:$A)))) + 1))</f>
        <v/>
      </c>
      <c r="F167" t="str" cm="1">
        <f t="array" ref="F167">IF(Working!$A167="","",INDEX(Working!$A$2:INDEX(Working!$A:$A, MATCH("zzz", Working!$A:$A)), MOD(ROW()-ROW(F$2)+F$1, COUNTA(Working!$A$2:INDEX(Working!$A:$A, MATCH("zzz", Working!$A:$A)))) + 1))</f>
        <v/>
      </c>
      <c r="G167" t="str" cm="1">
        <f t="array" ref="G167">IF(Working!$A167="","",INDEX(Working!$A$2:INDEX(Working!$A:$A, MATCH("zzz", Working!$A:$A)), MOD(ROW()-ROW(G$2)+G$1, COUNTA(Working!$A$2:INDEX(Working!$A:$A, MATCH("zzz", Working!$A:$A)))) + 1))</f>
        <v/>
      </c>
      <c r="H167" t="str" cm="1">
        <f t="array" ref="H167">IF(Working!$A167="","",INDEX(Working!$A$2:INDEX(Working!$A:$A, MATCH("zzz", Working!$A:$A)), MOD(ROW()-ROW(H$2)+H$1, COUNTA(Working!$A$2:INDEX(Working!$A:$A, MATCH("zzz", Working!$A:$A)))) + 1))</f>
        <v/>
      </c>
      <c r="I167" t="str" cm="1">
        <f t="array" ref="I167">IF(Working!$A167="","",INDEX(Working!$A$2:INDEX(Working!$A:$A, MATCH("zzz", Working!$A:$A)), MOD(ROW()-ROW(I$2)+I$1, COUNTA(Working!$A$2:INDEX(Working!$A:$A, MATCH("zzz", Working!$A:$A)))) + 1))</f>
        <v/>
      </c>
      <c r="J167" t="str" cm="1">
        <f t="array" ref="J167">IF(Working!$A167="","",INDEX(Working!$A$2:INDEX(Working!$A:$A, MATCH("zzz", Working!$A:$A)), MOD(ROW()-ROW(J$2)+J$1, COUNTA(Working!$A$2:INDEX(Working!$A:$A, MATCH("zzz", Working!$A:$A)))) + 1))</f>
        <v/>
      </c>
      <c r="K167" t="str" cm="1">
        <f t="array" ref="K167">IF(Working!$A167="","",INDEX(Working!$A$2:INDEX(Working!$A:$A, MATCH("zzz", Working!$A:$A)), MOD(ROW()-ROW(K$2)+K$1, COUNTA(Working!$A$2:INDEX(Working!$A:$A, MATCH("zzz", Working!$A:$A)))) + 1))</f>
        <v/>
      </c>
      <c r="L167" t="str" cm="1">
        <f t="array" ref="L167">IF(Working!$A167="","",INDEX(Working!$A$2:INDEX(Working!$A:$A, MATCH("zzz", Working!$A:$A)), MOD(ROW()-ROW(L$2)+L$1, COUNTA(Working!$A$2:INDEX(Working!$A:$A, MATCH("zzz", Working!$A:$A)))) + 1))</f>
        <v/>
      </c>
    </row>
    <row r="168" spans="3:12" ht="15.75" customHeight="1" x14ac:dyDescent="0.2">
      <c r="C168" t="str" cm="1">
        <f t="array" ref="C168">IF(Working!$A168="","",INDEX(Working!$A$2:INDEX(Working!$A:$A, MATCH("zzz", Working!$A:$A)), MOD(ROW()-ROW(C$2)+C$1, COUNTA(Working!$A$2:INDEX(Working!$A:$A, MATCH("zzz", Working!$A:$A)))) + 1))</f>
        <v/>
      </c>
      <c r="D168" t="str" cm="1">
        <f t="array" ref="D168">IF(Working!$A168="","",INDEX(Working!$A$2:INDEX(Working!$A:$A, MATCH("zzz", Working!$A:$A)), MOD(ROW()-ROW(D$2)+D$1, COUNTA(Working!$A$2:INDEX(Working!$A:$A, MATCH("zzz", Working!$A:$A)))) + 1))</f>
        <v/>
      </c>
      <c r="E168" t="str" cm="1">
        <f t="array" ref="E168">IF(Working!$A168="","",INDEX(Working!$A$2:INDEX(Working!$A:$A, MATCH("zzz", Working!$A:$A)), MOD(ROW()-ROW(E$2)+E$1, COUNTA(Working!$A$2:INDEX(Working!$A:$A, MATCH("zzz", Working!$A:$A)))) + 1))</f>
        <v/>
      </c>
      <c r="F168" t="str" cm="1">
        <f t="array" ref="F168">IF(Working!$A168="","",INDEX(Working!$A$2:INDEX(Working!$A:$A, MATCH("zzz", Working!$A:$A)), MOD(ROW()-ROW(F$2)+F$1, COUNTA(Working!$A$2:INDEX(Working!$A:$A, MATCH("zzz", Working!$A:$A)))) + 1))</f>
        <v/>
      </c>
      <c r="G168" t="str" cm="1">
        <f t="array" ref="G168">IF(Working!$A168="","",INDEX(Working!$A$2:INDEX(Working!$A:$A, MATCH("zzz", Working!$A:$A)), MOD(ROW()-ROW(G$2)+G$1, COUNTA(Working!$A$2:INDEX(Working!$A:$A, MATCH("zzz", Working!$A:$A)))) + 1))</f>
        <v/>
      </c>
      <c r="H168" t="str" cm="1">
        <f t="array" ref="H168">IF(Working!$A168="","",INDEX(Working!$A$2:INDEX(Working!$A:$A, MATCH("zzz", Working!$A:$A)), MOD(ROW()-ROW(H$2)+H$1, COUNTA(Working!$A$2:INDEX(Working!$A:$A, MATCH("zzz", Working!$A:$A)))) + 1))</f>
        <v/>
      </c>
      <c r="I168" t="str" cm="1">
        <f t="array" ref="I168">IF(Working!$A168="","",INDEX(Working!$A$2:INDEX(Working!$A:$A, MATCH("zzz", Working!$A:$A)), MOD(ROW()-ROW(I$2)+I$1, COUNTA(Working!$A$2:INDEX(Working!$A:$A, MATCH("zzz", Working!$A:$A)))) + 1))</f>
        <v/>
      </c>
      <c r="J168" t="str" cm="1">
        <f t="array" ref="J168">IF(Working!$A168="","",INDEX(Working!$A$2:INDEX(Working!$A:$A, MATCH("zzz", Working!$A:$A)), MOD(ROW()-ROW(J$2)+J$1, COUNTA(Working!$A$2:INDEX(Working!$A:$A, MATCH("zzz", Working!$A:$A)))) + 1))</f>
        <v/>
      </c>
      <c r="K168" t="str" cm="1">
        <f t="array" ref="K168">IF(Working!$A168="","",INDEX(Working!$A$2:INDEX(Working!$A:$A, MATCH("zzz", Working!$A:$A)), MOD(ROW()-ROW(K$2)+K$1, COUNTA(Working!$A$2:INDEX(Working!$A:$A, MATCH("zzz", Working!$A:$A)))) + 1))</f>
        <v/>
      </c>
      <c r="L168" t="str" cm="1">
        <f t="array" ref="L168">IF(Working!$A168="","",INDEX(Working!$A$2:INDEX(Working!$A:$A, MATCH("zzz", Working!$A:$A)), MOD(ROW()-ROW(L$2)+L$1, COUNTA(Working!$A$2:INDEX(Working!$A:$A, MATCH("zzz", Working!$A:$A)))) + 1))</f>
        <v/>
      </c>
    </row>
    <row r="169" spans="3:12" ht="15.75" customHeight="1" x14ac:dyDescent="0.2">
      <c r="C169" t="str" cm="1">
        <f t="array" ref="C169">IF(Working!$A169="","",INDEX(Working!$A$2:INDEX(Working!$A:$A, MATCH("zzz", Working!$A:$A)), MOD(ROW()-ROW(C$2)+C$1, COUNTA(Working!$A$2:INDEX(Working!$A:$A, MATCH("zzz", Working!$A:$A)))) + 1))</f>
        <v/>
      </c>
      <c r="D169" t="str" cm="1">
        <f t="array" ref="D169">IF(Working!$A169="","",INDEX(Working!$A$2:INDEX(Working!$A:$A, MATCH("zzz", Working!$A:$A)), MOD(ROW()-ROW(D$2)+D$1, COUNTA(Working!$A$2:INDEX(Working!$A:$A, MATCH("zzz", Working!$A:$A)))) + 1))</f>
        <v/>
      </c>
      <c r="E169" t="str" cm="1">
        <f t="array" ref="E169">IF(Working!$A169="","",INDEX(Working!$A$2:INDEX(Working!$A:$A, MATCH("zzz", Working!$A:$A)), MOD(ROW()-ROW(E$2)+E$1, COUNTA(Working!$A$2:INDEX(Working!$A:$A, MATCH("zzz", Working!$A:$A)))) + 1))</f>
        <v/>
      </c>
      <c r="F169" t="str" cm="1">
        <f t="array" ref="F169">IF(Working!$A169="","",INDEX(Working!$A$2:INDEX(Working!$A:$A, MATCH("zzz", Working!$A:$A)), MOD(ROW()-ROW(F$2)+F$1, COUNTA(Working!$A$2:INDEX(Working!$A:$A, MATCH("zzz", Working!$A:$A)))) + 1))</f>
        <v/>
      </c>
      <c r="G169" t="str" cm="1">
        <f t="array" ref="G169">IF(Working!$A169="","",INDEX(Working!$A$2:INDEX(Working!$A:$A, MATCH("zzz", Working!$A:$A)), MOD(ROW()-ROW(G$2)+G$1, COUNTA(Working!$A$2:INDEX(Working!$A:$A, MATCH("zzz", Working!$A:$A)))) + 1))</f>
        <v/>
      </c>
      <c r="H169" t="str" cm="1">
        <f t="array" ref="H169">IF(Working!$A169="","",INDEX(Working!$A$2:INDEX(Working!$A:$A, MATCH("zzz", Working!$A:$A)), MOD(ROW()-ROW(H$2)+H$1, COUNTA(Working!$A$2:INDEX(Working!$A:$A, MATCH("zzz", Working!$A:$A)))) + 1))</f>
        <v/>
      </c>
      <c r="I169" t="str" cm="1">
        <f t="array" ref="I169">IF(Working!$A169="","",INDEX(Working!$A$2:INDEX(Working!$A:$A, MATCH("zzz", Working!$A:$A)), MOD(ROW()-ROW(I$2)+I$1, COUNTA(Working!$A$2:INDEX(Working!$A:$A, MATCH("zzz", Working!$A:$A)))) + 1))</f>
        <v/>
      </c>
      <c r="J169" t="str" cm="1">
        <f t="array" ref="J169">IF(Working!$A169="","",INDEX(Working!$A$2:INDEX(Working!$A:$A, MATCH("zzz", Working!$A:$A)), MOD(ROW()-ROW(J$2)+J$1, COUNTA(Working!$A$2:INDEX(Working!$A:$A, MATCH("zzz", Working!$A:$A)))) + 1))</f>
        <v/>
      </c>
      <c r="K169" t="str" cm="1">
        <f t="array" ref="K169">IF(Working!$A169="","",INDEX(Working!$A$2:INDEX(Working!$A:$A, MATCH("zzz", Working!$A:$A)), MOD(ROW()-ROW(K$2)+K$1, COUNTA(Working!$A$2:INDEX(Working!$A:$A, MATCH("zzz", Working!$A:$A)))) + 1))</f>
        <v/>
      </c>
      <c r="L169" t="str" cm="1">
        <f t="array" ref="L169">IF(Working!$A169="","",INDEX(Working!$A$2:INDEX(Working!$A:$A, MATCH("zzz", Working!$A:$A)), MOD(ROW()-ROW(L$2)+L$1, COUNTA(Working!$A$2:INDEX(Working!$A:$A, MATCH("zzz", Working!$A:$A)))) + 1))</f>
        <v/>
      </c>
    </row>
    <row r="170" spans="3:12" ht="15.75" customHeight="1" x14ac:dyDescent="0.2">
      <c r="C170" t="str" cm="1">
        <f t="array" ref="C170">IF(Working!$A170="","",INDEX(Working!$A$2:INDEX(Working!$A:$A, MATCH("zzz", Working!$A:$A)), MOD(ROW()-ROW(C$2)+C$1, COUNTA(Working!$A$2:INDEX(Working!$A:$A, MATCH("zzz", Working!$A:$A)))) + 1))</f>
        <v/>
      </c>
      <c r="D170" t="str" cm="1">
        <f t="array" ref="D170">IF(Working!$A170="","",INDEX(Working!$A$2:INDEX(Working!$A:$A, MATCH("zzz", Working!$A:$A)), MOD(ROW()-ROW(D$2)+D$1, COUNTA(Working!$A$2:INDEX(Working!$A:$A, MATCH("zzz", Working!$A:$A)))) + 1))</f>
        <v/>
      </c>
      <c r="E170" t="str" cm="1">
        <f t="array" ref="E170">IF(Working!$A170="","",INDEX(Working!$A$2:INDEX(Working!$A:$A, MATCH("zzz", Working!$A:$A)), MOD(ROW()-ROW(E$2)+E$1, COUNTA(Working!$A$2:INDEX(Working!$A:$A, MATCH("zzz", Working!$A:$A)))) + 1))</f>
        <v/>
      </c>
      <c r="F170" t="str" cm="1">
        <f t="array" ref="F170">IF(Working!$A170="","",INDEX(Working!$A$2:INDEX(Working!$A:$A, MATCH("zzz", Working!$A:$A)), MOD(ROW()-ROW(F$2)+F$1, COUNTA(Working!$A$2:INDEX(Working!$A:$A, MATCH("zzz", Working!$A:$A)))) + 1))</f>
        <v/>
      </c>
      <c r="G170" t="str" cm="1">
        <f t="array" ref="G170">IF(Working!$A170="","",INDEX(Working!$A$2:INDEX(Working!$A:$A, MATCH("zzz", Working!$A:$A)), MOD(ROW()-ROW(G$2)+G$1, COUNTA(Working!$A$2:INDEX(Working!$A:$A, MATCH("zzz", Working!$A:$A)))) + 1))</f>
        <v/>
      </c>
      <c r="H170" t="str" cm="1">
        <f t="array" ref="H170">IF(Working!$A170="","",INDEX(Working!$A$2:INDEX(Working!$A:$A, MATCH("zzz", Working!$A:$A)), MOD(ROW()-ROW(H$2)+H$1, COUNTA(Working!$A$2:INDEX(Working!$A:$A, MATCH("zzz", Working!$A:$A)))) + 1))</f>
        <v/>
      </c>
      <c r="I170" t="str" cm="1">
        <f t="array" ref="I170">IF(Working!$A170="","",INDEX(Working!$A$2:INDEX(Working!$A:$A, MATCH("zzz", Working!$A:$A)), MOD(ROW()-ROW(I$2)+I$1, COUNTA(Working!$A$2:INDEX(Working!$A:$A, MATCH("zzz", Working!$A:$A)))) + 1))</f>
        <v/>
      </c>
      <c r="J170" t="str" cm="1">
        <f t="array" ref="J170">IF(Working!$A170="","",INDEX(Working!$A$2:INDEX(Working!$A:$A, MATCH("zzz", Working!$A:$A)), MOD(ROW()-ROW(J$2)+J$1, COUNTA(Working!$A$2:INDEX(Working!$A:$A, MATCH("zzz", Working!$A:$A)))) + 1))</f>
        <v/>
      </c>
      <c r="K170" t="str" cm="1">
        <f t="array" ref="K170">IF(Working!$A170="","",INDEX(Working!$A$2:INDEX(Working!$A:$A, MATCH("zzz", Working!$A:$A)), MOD(ROW()-ROW(K$2)+K$1, COUNTA(Working!$A$2:INDEX(Working!$A:$A, MATCH("zzz", Working!$A:$A)))) + 1))</f>
        <v/>
      </c>
      <c r="L170" t="str" cm="1">
        <f t="array" ref="L170">IF(Working!$A170="","",INDEX(Working!$A$2:INDEX(Working!$A:$A, MATCH("zzz", Working!$A:$A)), MOD(ROW()-ROW(L$2)+L$1, COUNTA(Working!$A$2:INDEX(Working!$A:$A, MATCH("zzz", Working!$A:$A)))) + 1))</f>
        <v/>
      </c>
    </row>
    <row r="171" spans="3:12" ht="15.75" customHeight="1" x14ac:dyDescent="0.2">
      <c r="C171" t="str" cm="1">
        <f t="array" ref="C171">IF(Working!$A171="","",INDEX(Working!$A$2:INDEX(Working!$A:$A, MATCH("zzz", Working!$A:$A)), MOD(ROW()-ROW(C$2)+C$1, COUNTA(Working!$A$2:INDEX(Working!$A:$A, MATCH("zzz", Working!$A:$A)))) + 1))</f>
        <v/>
      </c>
      <c r="D171" t="str" cm="1">
        <f t="array" ref="D171">IF(Working!$A171="","",INDEX(Working!$A$2:INDEX(Working!$A:$A, MATCH("zzz", Working!$A:$A)), MOD(ROW()-ROW(D$2)+D$1, COUNTA(Working!$A$2:INDEX(Working!$A:$A, MATCH("zzz", Working!$A:$A)))) + 1))</f>
        <v/>
      </c>
      <c r="E171" t="str" cm="1">
        <f t="array" ref="E171">IF(Working!$A171="","",INDEX(Working!$A$2:INDEX(Working!$A:$A, MATCH("zzz", Working!$A:$A)), MOD(ROW()-ROW(E$2)+E$1, COUNTA(Working!$A$2:INDEX(Working!$A:$A, MATCH("zzz", Working!$A:$A)))) + 1))</f>
        <v/>
      </c>
      <c r="F171" t="str" cm="1">
        <f t="array" ref="F171">IF(Working!$A171="","",INDEX(Working!$A$2:INDEX(Working!$A:$A, MATCH("zzz", Working!$A:$A)), MOD(ROW()-ROW(F$2)+F$1, COUNTA(Working!$A$2:INDEX(Working!$A:$A, MATCH("zzz", Working!$A:$A)))) + 1))</f>
        <v/>
      </c>
      <c r="G171" t="str" cm="1">
        <f t="array" ref="G171">IF(Working!$A171="","",INDEX(Working!$A$2:INDEX(Working!$A:$A, MATCH("zzz", Working!$A:$A)), MOD(ROW()-ROW(G$2)+G$1, COUNTA(Working!$A$2:INDEX(Working!$A:$A, MATCH("zzz", Working!$A:$A)))) + 1))</f>
        <v/>
      </c>
      <c r="H171" t="str" cm="1">
        <f t="array" ref="H171">IF(Working!$A171="","",INDEX(Working!$A$2:INDEX(Working!$A:$A, MATCH("zzz", Working!$A:$A)), MOD(ROW()-ROW(H$2)+H$1, COUNTA(Working!$A$2:INDEX(Working!$A:$A, MATCH("zzz", Working!$A:$A)))) + 1))</f>
        <v/>
      </c>
      <c r="I171" t="str" cm="1">
        <f t="array" ref="I171">IF(Working!$A171="","",INDEX(Working!$A$2:INDEX(Working!$A:$A, MATCH("zzz", Working!$A:$A)), MOD(ROW()-ROW(I$2)+I$1, COUNTA(Working!$A$2:INDEX(Working!$A:$A, MATCH("zzz", Working!$A:$A)))) + 1))</f>
        <v/>
      </c>
      <c r="J171" t="str" cm="1">
        <f t="array" ref="J171">IF(Working!$A171="","",INDEX(Working!$A$2:INDEX(Working!$A:$A, MATCH("zzz", Working!$A:$A)), MOD(ROW()-ROW(J$2)+J$1, COUNTA(Working!$A$2:INDEX(Working!$A:$A, MATCH("zzz", Working!$A:$A)))) + 1))</f>
        <v/>
      </c>
      <c r="K171" t="str" cm="1">
        <f t="array" ref="K171">IF(Working!$A171="","",INDEX(Working!$A$2:INDEX(Working!$A:$A, MATCH("zzz", Working!$A:$A)), MOD(ROW()-ROW(K$2)+K$1, COUNTA(Working!$A$2:INDEX(Working!$A:$A, MATCH("zzz", Working!$A:$A)))) + 1))</f>
        <v/>
      </c>
      <c r="L171" t="str" cm="1">
        <f t="array" ref="L171">IF(Working!$A171="","",INDEX(Working!$A$2:INDEX(Working!$A:$A, MATCH("zzz", Working!$A:$A)), MOD(ROW()-ROW(L$2)+L$1, COUNTA(Working!$A$2:INDEX(Working!$A:$A, MATCH("zzz", Working!$A:$A)))) + 1))</f>
        <v/>
      </c>
    </row>
    <row r="172" spans="3:12" ht="15.75" customHeight="1" x14ac:dyDescent="0.2">
      <c r="C172" t="str" cm="1">
        <f t="array" ref="C172">IF(Working!$A172="","",INDEX(Working!$A$2:INDEX(Working!$A:$A, MATCH("zzz", Working!$A:$A)), MOD(ROW()-ROW(C$2)+C$1, COUNTA(Working!$A$2:INDEX(Working!$A:$A, MATCH("zzz", Working!$A:$A)))) + 1))</f>
        <v/>
      </c>
      <c r="D172" t="str" cm="1">
        <f t="array" ref="D172">IF(Working!$A172="","",INDEX(Working!$A$2:INDEX(Working!$A:$A, MATCH("zzz", Working!$A:$A)), MOD(ROW()-ROW(D$2)+D$1, COUNTA(Working!$A$2:INDEX(Working!$A:$A, MATCH("zzz", Working!$A:$A)))) + 1))</f>
        <v/>
      </c>
      <c r="E172" t="str" cm="1">
        <f t="array" ref="E172">IF(Working!$A172="","",INDEX(Working!$A$2:INDEX(Working!$A:$A, MATCH("zzz", Working!$A:$A)), MOD(ROW()-ROW(E$2)+E$1, COUNTA(Working!$A$2:INDEX(Working!$A:$A, MATCH("zzz", Working!$A:$A)))) + 1))</f>
        <v/>
      </c>
      <c r="F172" t="str" cm="1">
        <f t="array" ref="F172">IF(Working!$A172="","",INDEX(Working!$A$2:INDEX(Working!$A:$A, MATCH("zzz", Working!$A:$A)), MOD(ROW()-ROW(F$2)+F$1, COUNTA(Working!$A$2:INDEX(Working!$A:$A, MATCH("zzz", Working!$A:$A)))) + 1))</f>
        <v/>
      </c>
      <c r="G172" t="str" cm="1">
        <f t="array" ref="G172">IF(Working!$A172="","",INDEX(Working!$A$2:INDEX(Working!$A:$A, MATCH("zzz", Working!$A:$A)), MOD(ROW()-ROW(G$2)+G$1, COUNTA(Working!$A$2:INDEX(Working!$A:$A, MATCH("zzz", Working!$A:$A)))) + 1))</f>
        <v/>
      </c>
      <c r="H172" t="str" cm="1">
        <f t="array" ref="H172">IF(Working!$A172="","",INDEX(Working!$A$2:INDEX(Working!$A:$A, MATCH("zzz", Working!$A:$A)), MOD(ROW()-ROW(H$2)+H$1, COUNTA(Working!$A$2:INDEX(Working!$A:$A, MATCH("zzz", Working!$A:$A)))) + 1))</f>
        <v/>
      </c>
      <c r="I172" t="str" cm="1">
        <f t="array" ref="I172">IF(Working!$A172="","",INDEX(Working!$A$2:INDEX(Working!$A:$A, MATCH("zzz", Working!$A:$A)), MOD(ROW()-ROW(I$2)+I$1, COUNTA(Working!$A$2:INDEX(Working!$A:$A, MATCH("zzz", Working!$A:$A)))) + 1))</f>
        <v/>
      </c>
      <c r="J172" t="str" cm="1">
        <f t="array" ref="J172">IF(Working!$A172="","",INDEX(Working!$A$2:INDEX(Working!$A:$A, MATCH("zzz", Working!$A:$A)), MOD(ROW()-ROW(J$2)+J$1, COUNTA(Working!$A$2:INDEX(Working!$A:$A, MATCH("zzz", Working!$A:$A)))) + 1))</f>
        <v/>
      </c>
      <c r="K172" t="str" cm="1">
        <f t="array" ref="K172">IF(Working!$A172="","",INDEX(Working!$A$2:INDEX(Working!$A:$A, MATCH("zzz", Working!$A:$A)), MOD(ROW()-ROW(K$2)+K$1, COUNTA(Working!$A$2:INDEX(Working!$A:$A, MATCH("zzz", Working!$A:$A)))) + 1))</f>
        <v/>
      </c>
      <c r="L172" t="str" cm="1">
        <f t="array" ref="L172">IF(Working!$A172="","",INDEX(Working!$A$2:INDEX(Working!$A:$A, MATCH("zzz", Working!$A:$A)), MOD(ROW()-ROW(L$2)+L$1, COUNTA(Working!$A$2:INDEX(Working!$A:$A, MATCH("zzz", Working!$A:$A)))) + 1))</f>
        <v/>
      </c>
    </row>
    <row r="173" spans="3:12" ht="15.75" customHeight="1" x14ac:dyDescent="0.2">
      <c r="C173" t="str" cm="1">
        <f t="array" ref="C173">IF(Working!$A173="","",INDEX(Working!$A$2:INDEX(Working!$A:$A, MATCH("zzz", Working!$A:$A)), MOD(ROW()-ROW(C$2)+C$1, COUNTA(Working!$A$2:INDEX(Working!$A:$A, MATCH("zzz", Working!$A:$A)))) + 1))</f>
        <v/>
      </c>
      <c r="D173" t="str" cm="1">
        <f t="array" ref="D173">IF(Working!$A173="","",INDEX(Working!$A$2:INDEX(Working!$A:$A, MATCH("zzz", Working!$A:$A)), MOD(ROW()-ROW(D$2)+D$1, COUNTA(Working!$A$2:INDEX(Working!$A:$A, MATCH("zzz", Working!$A:$A)))) + 1))</f>
        <v/>
      </c>
      <c r="E173" t="str" cm="1">
        <f t="array" ref="E173">IF(Working!$A173="","",INDEX(Working!$A$2:INDEX(Working!$A:$A, MATCH("zzz", Working!$A:$A)), MOD(ROW()-ROW(E$2)+E$1, COUNTA(Working!$A$2:INDEX(Working!$A:$A, MATCH("zzz", Working!$A:$A)))) + 1))</f>
        <v/>
      </c>
      <c r="F173" t="str" cm="1">
        <f t="array" ref="F173">IF(Working!$A173="","",INDEX(Working!$A$2:INDEX(Working!$A:$A, MATCH("zzz", Working!$A:$A)), MOD(ROW()-ROW(F$2)+F$1, COUNTA(Working!$A$2:INDEX(Working!$A:$A, MATCH("zzz", Working!$A:$A)))) + 1))</f>
        <v/>
      </c>
      <c r="G173" t="str" cm="1">
        <f t="array" ref="G173">IF(Working!$A173="","",INDEX(Working!$A$2:INDEX(Working!$A:$A, MATCH("zzz", Working!$A:$A)), MOD(ROW()-ROW(G$2)+G$1, COUNTA(Working!$A$2:INDEX(Working!$A:$A, MATCH("zzz", Working!$A:$A)))) + 1))</f>
        <v/>
      </c>
      <c r="H173" t="str" cm="1">
        <f t="array" ref="H173">IF(Working!$A173="","",INDEX(Working!$A$2:INDEX(Working!$A:$A, MATCH("zzz", Working!$A:$A)), MOD(ROW()-ROW(H$2)+H$1, COUNTA(Working!$A$2:INDEX(Working!$A:$A, MATCH("zzz", Working!$A:$A)))) + 1))</f>
        <v/>
      </c>
      <c r="I173" t="str" cm="1">
        <f t="array" ref="I173">IF(Working!$A173="","",INDEX(Working!$A$2:INDEX(Working!$A:$A, MATCH("zzz", Working!$A:$A)), MOD(ROW()-ROW(I$2)+I$1, COUNTA(Working!$A$2:INDEX(Working!$A:$A, MATCH("zzz", Working!$A:$A)))) + 1))</f>
        <v/>
      </c>
      <c r="J173" t="str" cm="1">
        <f t="array" ref="J173">IF(Working!$A173="","",INDEX(Working!$A$2:INDEX(Working!$A:$A, MATCH("zzz", Working!$A:$A)), MOD(ROW()-ROW(J$2)+J$1, COUNTA(Working!$A$2:INDEX(Working!$A:$A, MATCH("zzz", Working!$A:$A)))) + 1))</f>
        <v/>
      </c>
      <c r="K173" t="str" cm="1">
        <f t="array" ref="K173">IF(Working!$A173="","",INDEX(Working!$A$2:INDEX(Working!$A:$A, MATCH("zzz", Working!$A:$A)), MOD(ROW()-ROW(K$2)+K$1, COUNTA(Working!$A$2:INDEX(Working!$A:$A, MATCH("zzz", Working!$A:$A)))) + 1))</f>
        <v/>
      </c>
      <c r="L173" t="str" cm="1">
        <f t="array" ref="L173">IF(Working!$A173="","",INDEX(Working!$A$2:INDEX(Working!$A:$A, MATCH("zzz", Working!$A:$A)), MOD(ROW()-ROW(L$2)+L$1, COUNTA(Working!$A$2:INDEX(Working!$A:$A, MATCH("zzz", Working!$A:$A)))) + 1))</f>
        <v/>
      </c>
    </row>
    <row r="174" spans="3:12" ht="15.75" customHeight="1" x14ac:dyDescent="0.2">
      <c r="C174" t="str" cm="1">
        <f t="array" ref="C174">IF(Working!$A174="","",INDEX(Working!$A$2:INDEX(Working!$A:$A, MATCH("zzz", Working!$A:$A)), MOD(ROW()-ROW(C$2)+C$1, COUNTA(Working!$A$2:INDEX(Working!$A:$A, MATCH("zzz", Working!$A:$A)))) + 1))</f>
        <v/>
      </c>
      <c r="D174" t="str" cm="1">
        <f t="array" ref="D174">IF(Working!$A174="","",INDEX(Working!$A$2:INDEX(Working!$A:$A, MATCH("zzz", Working!$A:$A)), MOD(ROW()-ROW(D$2)+D$1, COUNTA(Working!$A$2:INDEX(Working!$A:$A, MATCH("zzz", Working!$A:$A)))) + 1))</f>
        <v/>
      </c>
      <c r="E174" t="str" cm="1">
        <f t="array" ref="E174">IF(Working!$A174="","",INDEX(Working!$A$2:INDEX(Working!$A:$A, MATCH("zzz", Working!$A:$A)), MOD(ROW()-ROW(E$2)+E$1, COUNTA(Working!$A$2:INDEX(Working!$A:$A, MATCH("zzz", Working!$A:$A)))) + 1))</f>
        <v/>
      </c>
      <c r="F174" t="str" cm="1">
        <f t="array" ref="F174">IF(Working!$A174="","",INDEX(Working!$A$2:INDEX(Working!$A:$A, MATCH("zzz", Working!$A:$A)), MOD(ROW()-ROW(F$2)+F$1, COUNTA(Working!$A$2:INDEX(Working!$A:$A, MATCH("zzz", Working!$A:$A)))) + 1))</f>
        <v/>
      </c>
      <c r="G174" t="str" cm="1">
        <f t="array" ref="G174">IF(Working!$A174="","",INDEX(Working!$A$2:INDEX(Working!$A:$A, MATCH("zzz", Working!$A:$A)), MOD(ROW()-ROW(G$2)+G$1, COUNTA(Working!$A$2:INDEX(Working!$A:$A, MATCH("zzz", Working!$A:$A)))) + 1))</f>
        <v/>
      </c>
      <c r="H174" t="str" cm="1">
        <f t="array" ref="H174">IF(Working!$A174="","",INDEX(Working!$A$2:INDEX(Working!$A:$A, MATCH("zzz", Working!$A:$A)), MOD(ROW()-ROW(H$2)+H$1, COUNTA(Working!$A$2:INDEX(Working!$A:$A, MATCH("zzz", Working!$A:$A)))) + 1))</f>
        <v/>
      </c>
      <c r="I174" t="str" cm="1">
        <f t="array" ref="I174">IF(Working!$A174="","",INDEX(Working!$A$2:INDEX(Working!$A:$A, MATCH("zzz", Working!$A:$A)), MOD(ROW()-ROW(I$2)+I$1, COUNTA(Working!$A$2:INDEX(Working!$A:$A, MATCH("zzz", Working!$A:$A)))) + 1))</f>
        <v/>
      </c>
      <c r="J174" t="str" cm="1">
        <f t="array" ref="J174">IF(Working!$A174="","",INDEX(Working!$A$2:INDEX(Working!$A:$A, MATCH("zzz", Working!$A:$A)), MOD(ROW()-ROW(J$2)+J$1, COUNTA(Working!$A$2:INDEX(Working!$A:$A, MATCH("zzz", Working!$A:$A)))) + 1))</f>
        <v/>
      </c>
      <c r="K174" t="str" cm="1">
        <f t="array" ref="K174">IF(Working!$A174="","",INDEX(Working!$A$2:INDEX(Working!$A:$A, MATCH("zzz", Working!$A:$A)), MOD(ROW()-ROW(K$2)+K$1, COUNTA(Working!$A$2:INDEX(Working!$A:$A, MATCH("zzz", Working!$A:$A)))) + 1))</f>
        <v/>
      </c>
      <c r="L174" t="str" cm="1">
        <f t="array" ref="L174">IF(Working!$A174="","",INDEX(Working!$A$2:INDEX(Working!$A:$A, MATCH("zzz", Working!$A:$A)), MOD(ROW()-ROW(L$2)+L$1, COUNTA(Working!$A$2:INDEX(Working!$A:$A, MATCH("zzz", Working!$A:$A)))) + 1))</f>
        <v/>
      </c>
    </row>
    <row r="175" spans="3:12" ht="15.75" customHeight="1" x14ac:dyDescent="0.2">
      <c r="C175" t="str" cm="1">
        <f t="array" ref="C175">IF(Working!$A175="","",INDEX(Working!$A$2:INDEX(Working!$A:$A, MATCH("zzz", Working!$A:$A)), MOD(ROW()-ROW(C$2)+C$1, COUNTA(Working!$A$2:INDEX(Working!$A:$A, MATCH("zzz", Working!$A:$A)))) + 1))</f>
        <v/>
      </c>
      <c r="D175" t="str" cm="1">
        <f t="array" ref="D175">IF(Working!$A175="","",INDEX(Working!$A$2:INDEX(Working!$A:$A, MATCH("zzz", Working!$A:$A)), MOD(ROW()-ROW(D$2)+D$1, COUNTA(Working!$A$2:INDEX(Working!$A:$A, MATCH("zzz", Working!$A:$A)))) + 1))</f>
        <v/>
      </c>
      <c r="E175" t="str" cm="1">
        <f t="array" ref="E175">IF(Working!$A175="","",INDEX(Working!$A$2:INDEX(Working!$A:$A, MATCH("zzz", Working!$A:$A)), MOD(ROW()-ROW(E$2)+E$1, COUNTA(Working!$A$2:INDEX(Working!$A:$A, MATCH("zzz", Working!$A:$A)))) + 1))</f>
        <v/>
      </c>
      <c r="F175" t="str" cm="1">
        <f t="array" ref="F175">IF(Working!$A175="","",INDEX(Working!$A$2:INDEX(Working!$A:$A, MATCH("zzz", Working!$A:$A)), MOD(ROW()-ROW(F$2)+F$1, COUNTA(Working!$A$2:INDEX(Working!$A:$A, MATCH("zzz", Working!$A:$A)))) + 1))</f>
        <v/>
      </c>
      <c r="G175" t="str" cm="1">
        <f t="array" ref="G175">IF(Working!$A175="","",INDEX(Working!$A$2:INDEX(Working!$A:$A, MATCH("zzz", Working!$A:$A)), MOD(ROW()-ROW(G$2)+G$1, COUNTA(Working!$A$2:INDEX(Working!$A:$A, MATCH("zzz", Working!$A:$A)))) + 1))</f>
        <v/>
      </c>
      <c r="H175" t="str" cm="1">
        <f t="array" ref="H175">IF(Working!$A175="","",INDEX(Working!$A$2:INDEX(Working!$A:$A, MATCH("zzz", Working!$A:$A)), MOD(ROW()-ROW(H$2)+H$1, COUNTA(Working!$A$2:INDEX(Working!$A:$A, MATCH("zzz", Working!$A:$A)))) + 1))</f>
        <v/>
      </c>
      <c r="I175" t="str" cm="1">
        <f t="array" ref="I175">IF(Working!$A175="","",INDEX(Working!$A$2:INDEX(Working!$A:$A, MATCH("zzz", Working!$A:$A)), MOD(ROW()-ROW(I$2)+I$1, COUNTA(Working!$A$2:INDEX(Working!$A:$A, MATCH("zzz", Working!$A:$A)))) + 1))</f>
        <v/>
      </c>
      <c r="J175" t="str" cm="1">
        <f t="array" ref="J175">IF(Working!$A175="","",INDEX(Working!$A$2:INDEX(Working!$A:$A, MATCH("zzz", Working!$A:$A)), MOD(ROW()-ROW(J$2)+J$1, COUNTA(Working!$A$2:INDEX(Working!$A:$A, MATCH("zzz", Working!$A:$A)))) + 1))</f>
        <v/>
      </c>
      <c r="K175" t="str" cm="1">
        <f t="array" ref="K175">IF(Working!$A175="","",INDEX(Working!$A$2:INDEX(Working!$A:$A, MATCH("zzz", Working!$A:$A)), MOD(ROW()-ROW(K$2)+K$1, COUNTA(Working!$A$2:INDEX(Working!$A:$A, MATCH("zzz", Working!$A:$A)))) + 1))</f>
        <v/>
      </c>
      <c r="L175" t="str" cm="1">
        <f t="array" ref="L175">IF(Working!$A175="","",INDEX(Working!$A$2:INDEX(Working!$A:$A, MATCH("zzz", Working!$A:$A)), MOD(ROW()-ROW(L$2)+L$1, COUNTA(Working!$A$2:INDEX(Working!$A:$A, MATCH("zzz", Working!$A:$A)))) + 1))</f>
        <v/>
      </c>
    </row>
    <row r="176" spans="3:12" ht="15.75" customHeight="1" x14ac:dyDescent="0.2">
      <c r="C176" t="str" cm="1">
        <f t="array" ref="C176">IF(Working!$A176="","",INDEX(Working!$A$2:INDEX(Working!$A:$A, MATCH("zzz", Working!$A:$A)), MOD(ROW()-ROW(C$2)+C$1, COUNTA(Working!$A$2:INDEX(Working!$A:$A, MATCH("zzz", Working!$A:$A)))) + 1))</f>
        <v/>
      </c>
      <c r="D176" t="str" cm="1">
        <f t="array" ref="D176">IF(Working!$A176="","",INDEX(Working!$A$2:INDEX(Working!$A:$A, MATCH("zzz", Working!$A:$A)), MOD(ROW()-ROW(D$2)+D$1, COUNTA(Working!$A$2:INDEX(Working!$A:$A, MATCH("zzz", Working!$A:$A)))) + 1))</f>
        <v/>
      </c>
      <c r="E176" t="str" cm="1">
        <f t="array" ref="E176">IF(Working!$A176="","",INDEX(Working!$A$2:INDEX(Working!$A:$A, MATCH("zzz", Working!$A:$A)), MOD(ROW()-ROW(E$2)+E$1, COUNTA(Working!$A$2:INDEX(Working!$A:$A, MATCH("zzz", Working!$A:$A)))) + 1))</f>
        <v/>
      </c>
      <c r="F176" t="str" cm="1">
        <f t="array" ref="F176">IF(Working!$A176="","",INDEX(Working!$A$2:INDEX(Working!$A:$A, MATCH("zzz", Working!$A:$A)), MOD(ROW()-ROW(F$2)+F$1, COUNTA(Working!$A$2:INDEX(Working!$A:$A, MATCH("zzz", Working!$A:$A)))) + 1))</f>
        <v/>
      </c>
      <c r="G176" t="str" cm="1">
        <f t="array" ref="G176">IF(Working!$A176="","",INDEX(Working!$A$2:INDEX(Working!$A:$A, MATCH("zzz", Working!$A:$A)), MOD(ROW()-ROW(G$2)+G$1, COUNTA(Working!$A$2:INDEX(Working!$A:$A, MATCH("zzz", Working!$A:$A)))) + 1))</f>
        <v/>
      </c>
      <c r="H176" t="str" cm="1">
        <f t="array" ref="H176">IF(Working!$A176="","",INDEX(Working!$A$2:INDEX(Working!$A:$A, MATCH("zzz", Working!$A:$A)), MOD(ROW()-ROW(H$2)+H$1, COUNTA(Working!$A$2:INDEX(Working!$A:$A, MATCH("zzz", Working!$A:$A)))) + 1))</f>
        <v/>
      </c>
      <c r="I176" t="str" cm="1">
        <f t="array" ref="I176">IF(Working!$A176="","",INDEX(Working!$A$2:INDEX(Working!$A:$A, MATCH("zzz", Working!$A:$A)), MOD(ROW()-ROW(I$2)+I$1, COUNTA(Working!$A$2:INDEX(Working!$A:$A, MATCH("zzz", Working!$A:$A)))) + 1))</f>
        <v/>
      </c>
      <c r="J176" t="str" cm="1">
        <f t="array" ref="J176">IF(Working!$A176="","",INDEX(Working!$A$2:INDEX(Working!$A:$A, MATCH("zzz", Working!$A:$A)), MOD(ROW()-ROW(J$2)+J$1, COUNTA(Working!$A$2:INDEX(Working!$A:$A, MATCH("zzz", Working!$A:$A)))) + 1))</f>
        <v/>
      </c>
      <c r="K176" t="str" cm="1">
        <f t="array" ref="K176">IF(Working!$A176="","",INDEX(Working!$A$2:INDEX(Working!$A:$A, MATCH("zzz", Working!$A:$A)), MOD(ROW()-ROW(K$2)+K$1, COUNTA(Working!$A$2:INDEX(Working!$A:$A, MATCH("zzz", Working!$A:$A)))) + 1))</f>
        <v/>
      </c>
      <c r="L176" t="str" cm="1">
        <f t="array" ref="L176">IF(Working!$A176="","",INDEX(Working!$A$2:INDEX(Working!$A:$A, MATCH("zzz", Working!$A:$A)), MOD(ROW()-ROW(L$2)+L$1, COUNTA(Working!$A$2:INDEX(Working!$A:$A, MATCH("zzz", Working!$A:$A)))) + 1))</f>
        <v/>
      </c>
    </row>
    <row r="177" spans="3:12" ht="15.75" customHeight="1" x14ac:dyDescent="0.2">
      <c r="C177" t="str" cm="1">
        <f t="array" ref="C177">IF(Working!$A177="","",INDEX(Working!$A$2:INDEX(Working!$A:$A, MATCH("zzz", Working!$A:$A)), MOD(ROW()-ROW(C$2)+C$1, COUNTA(Working!$A$2:INDEX(Working!$A:$A, MATCH("zzz", Working!$A:$A)))) + 1))</f>
        <v/>
      </c>
      <c r="D177" t="str" cm="1">
        <f t="array" ref="D177">IF(Working!$A177="","",INDEX(Working!$A$2:INDEX(Working!$A:$A, MATCH("zzz", Working!$A:$A)), MOD(ROW()-ROW(D$2)+D$1, COUNTA(Working!$A$2:INDEX(Working!$A:$A, MATCH("zzz", Working!$A:$A)))) + 1))</f>
        <v/>
      </c>
      <c r="E177" t="str" cm="1">
        <f t="array" ref="E177">IF(Working!$A177="","",INDEX(Working!$A$2:INDEX(Working!$A:$A, MATCH("zzz", Working!$A:$A)), MOD(ROW()-ROW(E$2)+E$1, COUNTA(Working!$A$2:INDEX(Working!$A:$A, MATCH("zzz", Working!$A:$A)))) + 1))</f>
        <v/>
      </c>
      <c r="F177" t="str" cm="1">
        <f t="array" ref="F177">IF(Working!$A177="","",INDEX(Working!$A$2:INDEX(Working!$A:$A, MATCH("zzz", Working!$A:$A)), MOD(ROW()-ROW(F$2)+F$1, COUNTA(Working!$A$2:INDEX(Working!$A:$A, MATCH("zzz", Working!$A:$A)))) + 1))</f>
        <v/>
      </c>
      <c r="G177" t="str" cm="1">
        <f t="array" ref="G177">IF(Working!$A177="","",INDEX(Working!$A$2:INDEX(Working!$A:$A, MATCH("zzz", Working!$A:$A)), MOD(ROW()-ROW(G$2)+G$1, COUNTA(Working!$A$2:INDEX(Working!$A:$A, MATCH("zzz", Working!$A:$A)))) + 1))</f>
        <v/>
      </c>
      <c r="H177" t="str" cm="1">
        <f t="array" ref="H177">IF(Working!$A177="","",INDEX(Working!$A$2:INDEX(Working!$A:$A, MATCH("zzz", Working!$A:$A)), MOD(ROW()-ROW(H$2)+H$1, COUNTA(Working!$A$2:INDEX(Working!$A:$A, MATCH("zzz", Working!$A:$A)))) + 1))</f>
        <v/>
      </c>
      <c r="I177" t="str" cm="1">
        <f t="array" ref="I177">IF(Working!$A177="","",INDEX(Working!$A$2:INDEX(Working!$A:$A, MATCH("zzz", Working!$A:$A)), MOD(ROW()-ROW(I$2)+I$1, COUNTA(Working!$A$2:INDEX(Working!$A:$A, MATCH("zzz", Working!$A:$A)))) + 1))</f>
        <v/>
      </c>
      <c r="J177" t="str" cm="1">
        <f t="array" ref="J177">IF(Working!$A177="","",INDEX(Working!$A$2:INDEX(Working!$A:$A, MATCH("zzz", Working!$A:$A)), MOD(ROW()-ROW(J$2)+J$1, COUNTA(Working!$A$2:INDEX(Working!$A:$A, MATCH("zzz", Working!$A:$A)))) + 1))</f>
        <v/>
      </c>
      <c r="K177" t="str" cm="1">
        <f t="array" ref="K177">IF(Working!$A177="","",INDEX(Working!$A$2:INDEX(Working!$A:$A, MATCH("zzz", Working!$A:$A)), MOD(ROW()-ROW(K$2)+K$1, COUNTA(Working!$A$2:INDEX(Working!$A:$A, MATCH("zzz", Working!$A:$A)))) + 1))</f>
        <v/>
      </c>
      <c r="L177" t="str" cm="1">
        <f t="array" ref="L177">IF(Working!$A177="","",INDEX(Working!$A$2:INDEX(Working!$A:$A, MATCH("zzz", Working!$A:$A)), MOD(ROW()-ROW(L$2)+L$1, COUNTA(Working!$A$2:INDEX(Working!$A:$A, MATCH("zzz", Working!$A:$A)))) + 1))</f>
        <v/>
      </c>
    </row>
    <row r="178" spans="3:12" ht="15.75" customHeight="1" x14ac:dyDescent="0.2">
      <c r="C178" t="str" cm="1">
        <f t="array" ref="C178">IF(Working!$A178="","",INDEX(Working!$A$2:INDEX(Working!$A:$A, MATCH("zzz", Working!$A:$A)), MOD(ROW()-ROW(C$2)+C$1, COUNTA(Working!$A$2:INDEX(Working!$A:$A, MATCH("zzz", Working!$A:$A)))) + 1))</f>
        <v/>
      </c>
      <c r="D178" t="str" cm="1">
        <f t="array" ref="D178">IF(Working!$A178="","",INDEX(Working!$A$2:INDEX(Working!$A:$A, MATCH("zzz", Working!$A:$A)), MOD(ROW()-ROW(D$2)+D$1, COUNTA(Working!$A$2:INDEX(Working!$A:$A, MATCH("zzz", Working!$A:$A)))) + 1))</f>
        <v/>
      </c>
      <c r="E178" t="str" cm="1">
        <f t="array" ref="E178">IF(Working!$A178="","",INDEX(Working!$A$2:INDEX(Working!$A:$A, MATCH("zzz", Working!$A:$A)), MOD(ROW()-ROW(E$2)+E$1, COUNTA(Working!$A$2:INDEX(Working!$A:$A, MATCH("zzz", Working!$A:$A)))) + 1))</f>
        <v/>
      </c>
      <c r="F178" t="str" cm="1">
        <f t="array" ref="F178">IF(Working!$A178="","",INDEX(Working!$A$2:INDEX(Working!$A:$A, MATCH("zzz", Working!$A:$A)), MOD(ROW()-ROW(F$2)+F$1, COUNTA(Working!$A$2:INDEX(Working!$A:$A, MATCH("zzz", Working!$A:$A)))) + 1))</f>
        <v/>
      </c>
      <c r="G178" t="str" cm="1">
        <f t="array" ref="G178">IF(Working!$A178="","",INDEX(Working!$A$2:INDEX(Working!$A:$A, MATCH("zzz", Working!$A:$A)), MOD(ROW()-ROW(G$2)+G$1, COUNTA(Working!$A$2:INDEX(Working!$A:$A, MATCH("zzz", Working!$A:$A)))) + 1))</f>
        <v/>
      </c>
      <c r="H178" t="str" cm="1">
        <f t="array" ref="H178">IF(Working!$A178="","",INDEX(Working!$A$2:INDEX(Working!$A:$A, MATCH("zzz", Working!$A:$A)), MOD(ROW()-ROW(H$2)+H$1, COUNTA(Working!$A$2:INDEX(Working!$A:$A, MATCH("zzz", Working!$A:$A)))) + 1))</f>
        <v/>
      </c>
      <c r="I178" t="str" cm="1">
        <f t="array" ref="I178">IF(Working!$A178="","",INDEX(Working!$A$2:INDEX(Working!$A:$A, MATCH("zzz", Working!$A:$A)), MOD(ROW()-ROW(I$2)+I$1, COUNTA(Working!$A$2:INDEX(Working!$A:$A, MATCH("zzz", Working!$A:$A)))) + 1))</f>
        <v/>
      </c>
      <c r="J178" t="str" cm="1">
        <f t="array" ref="J178">IF(Working!$A178="","",INDEX(Working!$A$2:INDEX(Working!$A:$A, MATCH("zzz", Working!$A:$A)), MOD(ROW()-ROW(J$2)+J$1, COUNTA(Working!$A$2:INDEX(Working!$A:$A, MATCH("zzz", Working!$A:$A)))) + 1))</f>
        <v/>
      </c>
      <c r="K178" t="str" cm="1">
        <f t="array" ref="K178">IF(Working!$A178="","",INDEX(Working!$A$2:INDEX(Working!$A:$A, MATCH("zzz", Working!$A:$A)), MOD(ROW()-ROW(K$2)+K$1, COUNTA(Working!$A$2:INDEX(Working!$A:$A, MATCH("zzz", Working!$A:$A)))) + 1))</f>
        <v/>
      </c>
      <c r="L178" t="str" cm="1">
        <f t="array" ref="L178">IF(Working!$A178="","",INDEX(Working!$A$2:INDEX(Working!$A:$A, MATCH("zzz", Working!$A:$A)), MOD(ROW()-ROW(L$2)+L$1, COUNTA(Working!$A$2:INDEX(Working!$A:$A, MATCH("zzz", Working!$A:$A)))) + 1))</f>
        <v/>
      </c>
    </row>
    <row r="179" spans="3:12" ht="15.75" customHeight="1" x14ac:dyDescent="0.2">
      <c r="C179" t="str" cm="1">
        <f t="array" ref="C179">IF(Working!$A179="","",INDEX(Working!$A$2:INDEX(Working!$A:$A, MATCH("zzz", Working!$A:$A)), MOD(ROW()-ROW(C$2)+C$1, COUNTA(Working!$A$2:INDEX(Working!$A:$A, MATCH("zzz", Working!$A:$A)))) + 1))</f>
        <v/>
      </c>
      <c r="D179" t="str" cm="1">
        <f t="array" ref="D179">IF(Working!$A179="","",INDEX(Working!$A$2:INDEX(Working!$A:$A, MATCH("zzz", Working!$A:$A)), MOD(ROW()-ROW(D$2)+D$1, COUNTA(Working!$A$2:INDEX(Working!$A:$A, MATCH("zzz", Working!$A:$A)))) + 1))</f>
        <v/>
      </c>
      <c r="E179" t="str" cm="1">
        <f t="array" ref="E179">IF(Working!$A179="","",INDEX(Working!$A$2:INDEX(Working!$A:$A, MATCH("zzz", Working!$A:$A)), MOD(ROW()-ROW(E$2)+E$1, COUNTA(Working!$A$2:INDEX(Working!$A:$A, MATCH("zzz", Working!$A:$A)))) + 1))</f>
        <v/>
      </c>
      <c r="F179" t="str" cm="1">
        <f t="array" ref="F179">IF(Working!$A179="","",INDEX(Working!$A$2:INDEX(Working!$A:$A, MATCH("zzz", Working!$A:$A)), MOD(ROW()-ROW(F$2)+F$1, COUNTA(Working!$A$2:INDEX(Working!$A:$A, MATCH("zzz", Working!$A:$A)))) + 1))</f>
        <v/>
      </c>
      <c r="G179" t="str" cm="1">
        <f t="array" ref="G179">IF(Working!$A179="","",INDEX(Working!$A$2:INDEX(Working!$A:$A, MATCH("zzz", Working!$A:$A)), MOD(ROW()-ROW(G$2)+G$1, COUNTA(Working!$A$2:INDEX(Working!$A:$A, MATCH("zzz", Working!$A:$A)))) + 1))</f>
        <v/>
      </c>
      <c r="H179" t="str" cm="1">
        <f t="array" ref="H179">IF(Working!$A179="","",INDEX(Working!$A$2:INDEX(Working!$A:$A, MATCH("zzz", Working!$A:$A)), MOD(ROW()-ROW(H$2)+H$1, COUNTA(Working!$A$2:INDEX(Working!$A:$A, MATCH("zzz", Working!$A:$A)))) + 1))</f>
        <v/>
      </c>
      <c r="I179" t="str" cm="1">
        <f t="array" ref="I179">IF(Working!$A179="","",INDEX(Working!$A$2:INDEX(Working!$A:$A, MATCH("zzz", Working!$A:$A)), MOD(ROW()-ROW(I$2)+I$1, COUNTA(Working!$A$2:INDEX(Working!$A:$A, MATCH("zzz", Working!$A:$A)))) + 1))</f>
        <v/>
      </c>
      <c r="J179" t="str" cm="1">
        <f t="array" ref="J179">IF(Working!$A179="","",INDEX(Working!$A$2:INDEX(Working!$A:$A, MATCH("zzz", Working!$A:$A)), MOD(ROW()-ROW(J$2)+J$1, COUNTA(Working!$A$2:INDEX(Working!$A:$A, MATCH("zzz", Working!$A:$A)))) + 1))</f>
        <v/>
      </c>
      <c r="K179" t="str" cm="1">
        <f t="array" ref="K179">IF(Working!$A179="","",INDEX(Working!$A$2:INDEX(Working!$A:$A, MATCH("zzz", Working!$A:$A)), MOD(ROW()-ROW(K$2)+K$1, COUNTA(Working!$A$2:INDEX(Working!$A:$A, MATCH("zzz", Working!$A:$A)))) + 1))</f>
        <v/>
      </c>
      <c r="L179" t="str" cm="1">
        <f t="array" ref="L179">IF(Working!$A179="","",INDEX(Working!$A$2:INDEX(Working!$A:$A, MATCH("zzz", Working!$A:$A)), MOD(ROW()-ROW(L$2)+L$1, COUNTA(Working!$A$2:INDEX(Working!$A:$A, MATCH("zzz", Working!$A:$A)))) + 1))</f>
        <v/>
      </c>
    </row>
    <row r="180" spans="3:12" ht="15.75" customHeight="1" x14ac:dyDescent="0.2">
      <c r="C180" t="str" cm="1">
        <f t="array" ref="C180">IF(Working!$A180="","",INDEX(Working!$A$2:INDEX(Working!$A:$A, MATCH("zzz", Working!$A:$A)), MOD(ROW()-ROW(C$2)+C$1, COUNTA(Working!$A$2:INDEX(Working!$A:$A, MATCH("zzz", Working!$A:$A)))) + 1))</f>
        <v/>
      </c>
      <c r="D180" t="str" cm="1">
        <f t="array" ref="D180">IF(Working!$A180="","",INDEX(Working!$A$2:INDEX(Working!$A:$A, MATCH("zzz", Working!$A:$A)), MOD(ROW()-ROW(D$2)+D$1, COUNTA(Working!$A$2:INDEX(Working!$A:$A, MATCH("zzz", Working!$A:$A)))) + 1))</f>
        <v/>
      </c>
      <c r="E180" t="str" cm="1">
        <f t="array" ref="E180">IF(Working!$A180="","",INDEX(Working!$A$2:INDEX(Working!$A:$A, MATCH("zzz", Working!$A:$A)), MOD(ROW()-ROW(E$2)+E$1, COUNTA(Working!$A$2:INDEX(Working!$A:$A, MATCH("zzz", Working!$A:$A)))) + 1))</f>
        <v/>
      </c>
      <c r="F180" t="str" cm="1">
        <f t="array" ref="F180">IF(Working!$A180="","",INDEX(Working!$A$2:INDEX(Working!$A:$A, MATCH("zzz", Working!$A:$A)), MOD(ROW()-ROW(F$2)+F$1, COUNTA(Working!$A$2:INDEX(Working!$A:$A, MATCH("zzz", Working!$A:$A)))) + 1))</f>
        <v/>
      </c>
      <c r="G180" t="str" cm="1">
        <f t="array" ref="G180">IF(Working!$A180="","",INDEX(Working!$A$2:INDEX(Working!$A:$A, MATCH("zzz", Working!$A:$A)), MOD(ROW()-ROW(G$2)+G$1, COUNTA(Working!$A$2:INDEX(Working!$A:$A, MATCH("zzz", Working!$A:$A)))) + 1))</f>
        <v/>
      </c>
      <c r="H180" t="str" cm="1">
        <f t="array" ref="H180">IF(Working!$A180="","",INDEX(Working!$A$2:INDEX(Working!$A:$A, MATCH("zzz", Working!$A:$A)), MOD(ROW()-ROW(H$2)+H$1, COUNTA(Working!$A$2:INDEX(Working!$A:$A, MATCH("zzz", Working!$A:$A)))) + 1))</f>
        <v/>
      </c>
      <c r="I180" t="str" cm="1">
        <f t="array" ref="I180">IF(Working!$A180="","",INDEX(Working!$A$2:INDEX(Working!$A:$A, MATCH("zzz", Working!$A:$A)), MOD(ROW()-ROW(I$2)+I$1, COUNTA(Working!$A$2:INDEX(Working!$A:$A, MATCH("zzz", Working!$A:$A)))) + 1))</f>
        <v/>
      </c>
      <c r="J180" t="str" cm="1">
        <f t="array" ref="J180">IF(Working!$A180="","",INDEX(Working!$A$2:INDEX(Working!$A:$A, MATCH("zzz", Working!$A:$A)), MOD(ROW()-ROW(J$2)+J$1, COUNTA(Working!$A$2:INDEX(Working!$A:$A, MATCH("zzz", Working!$A:$A)))) + 1))</f>
        <v/>
      </c>
      <c r="K180" t="str" cm="1">
        <f t="array" ref="K180">IF(Working!$A180="","",INDEX(Working!$A$2:INDEX(Working!$A:$A, MATCH("zzz", Working!$A:$A)), MOD(ROW()-ROW(K$2)+K$1, COUNTA(Working!$A$2:INDEX(Working!$A:$A, MATCH("zzz", Working!$A:$A)))) + 1))</f>
        <v/>
      </c>
      <c r="L180" t="str" cm="1">
        <f t="array" ref="L180">IF(Working!$A180="","",INDEX(Working!$A$2:INDEX(Working!$A:$A, MATCH("zzz", Working!$A:$A)), MOD(ROW()-ROW(L$2)+L$1, COUNTA(Working!$A$2:INDEX(Working!$A:$A, MATCH("zzz", Working!$A:$A)))) + 1))</f>
        <v/>
      </c>
    </row>
    <row r="181" spans="3:12" ht="15.75" customHeight="1" x14ac:dyDescent="0.2">
      <c r="C181" t="str" cm="1">
        <f t="array" ref="C181">IF(Working!$A181="","",INDEX(Working!$A$2:INDEX(Working!$A:$A, MATCH("zzz", Working!$A:$A)), MOD(ROW()-ROW(C$2)+C$1, COUNTA(Working!$A$2:INDEX(Working!$A:$A, MATCH("zzz", Working!$A:$A)))) + 1))</f>
        <v/>
      </c>
      <c r="D181" t="str" cm="1">
        <f t="array" ref="D181">IF(Working!$A181="","",INDEX(Working!$A$2:INDEX(Working!$A:$A, MATCH("zzz", Working!$A:$A)), MOD(ROW()-ROW(D$2)+D$1, COUNTA(Working!$A$2:INDEX(Working!$A:$A, MATCH("zzz", Working!$A:$A)))) + 1))</f>
        <v/>
      </c>
      <c r="E181" t="str" cm="1">
        <f t="array" ref="E181">IF(Working!$A181="","",INDEX(Working!$A$2:INDEX(Working!$A:$A, MATCH("zzz", Working!$A:$A)), MOD(ROW()-ROW(E$2)+E$1, COUNTA(Working!$A$2:INDEX(Working!$A:$A, MATCH("zzz", Working!$A:$A)))) + 1))</f>
        <v/>
      </c>
      <c r="F181" t="str" cm="1">
        <f t="array" ref="F181">IF(Working!$A181="","",INDEX(Working!$A$2:INDEX(Working!$A:$A, MATCH("zzz", Working!$A:$A)), MOD(ROW()-ROW(F$2)+F$1, COUNTA(Working!$A$2:INDEX(Working!$A:$A, MATCH("zzz", Working!$A:$A)))) + 1))</f>
        <v/>
      </c>
      <c r="G181" t="str" cm="1">
        <f t="array" ref="G181">IF(Working!$A181="","",INDEX(Working!$A$2:INDEX(Working!$A:$A, MATCH("zzz", Working!$A:$A)), MOD(ROW()-ROW(G$2)+G$1, COUNTA(Working!$A$2:INDEX(Working!$A:$A, MATCH("zzz", Working!$A:$A)))) + 1))</f>
        <v/>
      </c>
      <c r="H181" t="str" cm="1">
        <f t="array" ref="H181">IF(Working!$A181="","",INDEX(Working!$A$2:INDEX(Working!$A:$A, MATCH("zzz", Working!$A:$A)), MOD(ROW()-ROW(H$2)+H$1, COUNTA(Working!$A$2:INDEX(Working!$A:$A, MATCH("zzz", Working!$A:$A)))) + 1))</f>
        <v/>
      </c>
      <c r="I181" t="str" cm="1">
        <f t="array" ref="I181">IF(Working!$A181="","",INDEX(Working!$A$2:INDEX(Working!$A:$A, MATCH("zzz", Working!$A:$A)), MOD(ROW()-ROW(I$2)+I$1, COUNTA(Working!$A$2:INDEX(Working!$A:$A, MATCH("zzz", Working!$A:$A)))) + 1))</f>
        <v/>
      </c>
      <c r="J181" t="str" cm="1">
        <f t="array" ref="J181">IF(Working!$A181="","",INDEX(Working!$A$2:INDEX(Working!$A:$A, MATCH("zzz", Working!$A:$A)), MOD(ROW()-ROW(J$2)+J$1, COUNTA(Working!$A$2:INDEX(Working!$A:$A, MATCH("zzz", Working!$A:$A)))) + 1))</f>
        <v/>
      </c>
      <c r="K181" t="str" cm="1">
        <f t="array" ref="K181">IF(Working!$A181="","",INDEX(Working!$A$2:INDEX(Working!$A:$A, MATCH("zzz", Working!$A:$A)), MOD(ROW()-ROW(K$2)+K$1, COUNTA(Working!$A$2:INDEX(Working!$A:$A, MATCH("zzz", Working!$A:$A)))) + 1))</f>
        <v/>
      </c>
      <c r="L181" t="str" cm="1">
        <f t="array" ref="L181">IF(Working!$A181="","",INDEX(Working!$A$2:INDEX(Working!$A:$A, MATCH("zzz", Working!$A:$A)), MOD(ROW()-ROW(L$2)+L$1, COUNTA(Working!$A$2:INDEX(Working!$A:$A, MATCH("zzz", Working!$A:$A)))) + 1))</f>
        <v/>
      </c>
    </row>
    <row r="182" spans="3:12" ht="15.75" customHeight="1" x14ac:dyDescent="0.2">
      <c r="C182" t="str" cm="1">
        <f t="array" ref="C182">IF(Working!$A182="","",INDEX(Working!$A$2:INDEX(Working!$A:$A, MATCH("zzz", Working!$A:$A)), MOD(ROW()-ROW(C$2)+C$1, COUNTA(Working!$A$2:INDEX(Working!$A:$A, MATCH("zzz", Working!$A:$A)))) + 1))</f>
        <v/>
      </c>
      <c r="D182" t="str" cm="1">
        <f t="array" ref="D182">IF(Working!$A182="","",INDEX(Working!$A$2:INDEX(Working!$A:$A, MATCH("zzz", Working!$A:$A)), MOD(ROW()-ROW(D$2)+D$1, COUNTA(Working!$A$2:INDEX(Working!$A:$A, MATCH("zzz", Working!$A:$A)))) + 1))</f>
        <v/>
      </c>
      <c r="E182" t="str" cm="1">
        <f t="array" ref="E182">IF(Working!$A182="","",INDEX(Working!$A$2:INDEX(Working!$A:$A, MATCH("zzz", Working!$A:$A)), MOD(ROW()-ROW(E$2)+E$1, COUNTA(Working!$A$2:INDEX(Working!$A:$A, MATCH("zzz", Working!$A:$A)))) + 1))</f>
        <v/>
      </c>
      <c r="F182" t="str" cm="1">
        <f t="array" ref="F182">IF(Working!$A182="","",INDEX(Working!$A$2:INDEX(Working!$A:$A, MATCH("zzz", Working!$A:$A)), MOD(ROW()-ROW(F$2)+F$1, COUNTA(Working!$A$2:INDEX(Working!$A:$A, MATCH("zzz", Working!$A:$A)))) + 1))</f>
        <v/>
      </c>
      <c r="G182" t="str" cm="1">
        <f t="array" ref="G182">IF(Working!$A182="","",INDEX(Working!$A$2:INDEX(Working!$A:$A, MATCH("zzz", Working!$A:$A)), MOD(ROW()-ROW(G$2)+G$1, COUNTA(Working!$A$2:INDEX(Working!$A:$A, MATCH("zzz", Working!$A:$A)))) + 1))</f>
        <v/>
      </c>
      <c r="H182" t="str" cm="1">
        <f t="array" ref="H182">IF(Working!$A182="","",INDEX(Working!$A$2:INDEX(Working!$A:$A, MATCH("zzz", Working!$A:$A)), MOD(ROW()-ROW(H$2)+H$1, COUNTA(Working!$A$2:INDEX(Working!$A:$A, MATCH("zzz", Working!$A:$A)))) + 1))</f>
        <v/>
      </c>
      <c r="I182" t="str" cm="1">
        <f t="array" ref="I182">IF(Working!$A182="","",INDEX(Working!$A$2:INDEX(Working!$A:$A, MATCH("zzz", Working!$A:$A)), MOD(ROW()-ROW(I$2)+I$1, COUNTA(Working!$A$2:INDEX(Working!$A:$A, MATCH("zzz", Working!$A:$A)))) + 1))</f>
        <v/>
      </c>
      <c r="J182" t="str" cm="1">
        <f t="array" ref="J182">IF(Working!$A182="","",INDEX(Working!$A$2:INDEX(Working!$A:$A, MATCH("zzz", Working!$A:$A)), MOD(ROW()-ROW(J$2)+J$1, COUNTA(Working!$A$2:INDEX(Working!$A:$A, MATCH("zzz", Working!$A:$A)))) + 1))</f>
        <v/>
      </c>
      <c r="K182" t="str" cm="1">
        <f t="array" ref="K182">IF(Working!$A182="","",INDEX(Working!$A$2:INDEX(Working!$A:$A, MATCH("zzz", Working!$A:$A)), MOD(ROW()-ROW(K$2)+K$1, COUNTA(Working!$A$2:INDEX(Working!$A:$A, MATCH("zzz", Working!$A:$A)))) + 1))</f>
        <v/>
      </c>
      <c r="L182" t="str" cm="1">
        <f t="array" ref="L182">IF(Working!$A182="","",INDEX(Working!$A$2:INDEX(Working!$A:$A, MATCH("zzz", Working!$A:$A)), MOD(ROW()-ROW(L$2)+L$1, COUNTA(Working!$A$2:INDEX(Working!$A:$A, MATCH("zzz", Working!$A:$A)))) + 1))</f>
        <v/>
      </c>
    </row>
    <row r="183" spans="3:12" ht="15.75" customHeight="1" x14ac:dyDescent="0.2">
      <c r="C183" t="str" cm="1">
        <f t="array" ref="C183">IF(Working!$A183="","",INDEX(Working!$A$2:INDEX(Working!$A:$A, MATCH("zzz", Working!$A:$A)), MOD(ROW()-ROW(C$2)+C$1, COUNTA(Working!$A$2:INDEX(Working!$A:$A, MATCH("zzz", Working!$A:$A)))) + 1))</f>
        <v/>
      </c>
      <c r="D183" t="str" cm="1">
        <f t="array" ref="D183">IF(Working!$A183="","",INDEX(Working!$A$2:INDEX(Working!$A:$A, MATCH("zzz", Working!$A:$A)), MOD(ROW()-ROW(D$2)+D$1, COUNTA(Working!$A$2:INDEX(Working!$A:$A, MATCH("zzz", Working!$A:$A)))) + 1))</f>
        <v/>
      </c>
      <c r="E183" t="str" cm="1">
        <f t="array" ref="E183">IF(Working!$A183="","",INDEX(Working!$A$2:INDEX(Working!$A:$A, MATCH("zzz", Working!$A:$A)), MOD(ROW()-ROW(E$2)+E$1, COUNTA(Working!$A$2:INDEX(Working!$A:$A, MATCH("zzz", Working!$A:$A)))) + 1))</f>
        <v/>
      </c>
      <c r="F183" t="str" cm="1">
        <f t="array" ref="F183">IF(Working!$A183="","",INDEX(Working!$A$2:INDEX(Working!$A:$A, MATCH("zzz", Working!$A:$A)), MOD(ROW()-ROW(F$2)+F$1, COUNTA(Working!$A$2:INDEX(Working!$A:$A, MATCH("zzz", Working!$A:$A)))) + 1))</f>
        <v/>
      </c>
      <c r="G183" t="str" cm="1">
        <f t="array" ref="G183">IF(Working!$A183="","",INDEX(Working!$A$2:INDEX(Working!$A:$A, MATCH("zzz", Working!$A:$A)), MOD(ROW()-ROW(G$2)+G$1, COUNTA(Working!$A$2:INDEX(Working!$A:$A, MATCH("zzz", Working!$A:$A)))) + 1))</f>
        <v/>
      </c>
      <c r="H183" t="str" cm="1">
        <f t="array" ref="H183">IF(Working!$A183="","",INDEX(Working!$A$2:INDEX(Working!$A:$A, MATCH("zzz", Working!$A:$A)), MOD(ROW()-ROW(H$2)+H$1, COUNTA(Working!$A$2:INDEX(Working!$A:$A, MATCH("zzz", Working!$A:$A)))) + 1))</f>
        <v/>
      </c>
      <c r="I183" t="str" cm="1">
        <f t="array" ref="I183">IF(Working!$A183="","",INDEX(Working!$A$2:INDEX(Working!$A:$A, MATCH("zzz", Working!$A:$A)), MOD(ROW()-ROW(I$2)+I$1, COUNTA(Working!$A$2:INDEX(Working!$A:$A, MATCH("zzz", Working!$A:$A)))) + 1))</f>
        <v/>
      </c>
      <c r="J183" t="str" cm="1">
        <f t="array" ref="J183">IF(Working!$A183="","",INDEX(Working!$A$2:INDEX(Working!$A:$A, MATCH("zzz", Working!$A:$A)), MOD(ROW()-ROW(J$2)+J$1, COUNTA(Working!$A$2:INDEX(Working!$A:$A, MATCH("zzz", Working!$A:$A)))) + 1))</f>
        <v/>
      </c>
      <c r="K183" t="str" cm="1">
        <f t="array" ref="K183">IF(Working!$A183="","",INDEX(Working!$A$2:INDEX(Working!$A:$A, MATCH("zzz", Working!$A:$A)), MOD(ROW()-ROW(K$2)+K$1, COUNTA(Working!$A$2:INDEX(Working!$A:$A, MATCH("zzz", Working!$A:$A)))) + 1))</f>
        <v/>
      </c>
      <c r="L183" t="str" cm="1">
        <f t="array" ref="L183">IF(Working!$A183="","",INDEX(Working!$A$2:INDEX(Working!$A:$A, MATCH("zzz", Working!$A:$A)), MOD(ROW()-ROW(L$2)+L$1, COUNTA(Working!$A$2:INDEX(Working!$A:$A, MATCH("zzz", Working!$A:$A)))) + 1))</f>
        <v/>
      </c>
    </row>
    <row r="184" spans="3:12" ht="15.75" customHeight="1" x14ac:dyDescent="0.2">
      <c r="C184" t="str" cm="1">
        <f t="array" ref="C184">IF(Working!$A184="","",INDEX(Working!$A$2:INDEX(Working!$A:$A, MATCH("zzz", Working!$A:$A)), MOD(ROW()-ROW(C$2)+C$1, COUNTA(Working!$A$2:INDEX(Working!$A:$A, MATCH("zzz", Working!$A:$A)))) + 1))</f>
        <v/>
      </c>
      <c r="D184" t="str" cm="1">
        <f t="array" ref="D184">IF(Working!$A184="","",INDEX(Working!$A$2:INDEX(Working!$A:$A, MATCH("zzz", Working!$A:$A)), MOD(ROW()-ROW(D$2)+D$1, COUNTA(Working!$A$2:INDEX(Working!$A:$A, MATCH("zzz", Working!$A:$A)))) + 1))</f>
        <v/>
      </c>
      <c r="E184" t="str" cm="1">
        <f t="array" ref="E184">IF(Working!$A184="","",INDEX(Working!$A$2:INDEX(Working!$A:$A, MATCH("zzz", Working!$A:$A)), MOD(ROW()-ROW(E$2)+E$1, COUNTA(Working!$A$2:INDEX(Working!$A:$A, MATCH("zzz", Working!$A:$A)))) + 1))</f>
        <v/>
      </c>
      <c r="F184" t="str" cm="1">
        <f t="array" ref="F184">IF(Working!$A184="","",INDEX(Working!$A$2:INDEX(Working!$A:$A, MATCH("zzz", Working!$A:$A)), MOD(ROW()-ROW(F$2)+F$1, COUNTA(Working!$A$2:INDEX(Working!$A:$A, MATCH("zzz", Working!$A:$A)))) + 1))</f>
        <v/>
      </c>
      <c r="G184" t="str" cm="1">
        <f t="array" ref="G184">IF(Working!$A184="","",INDEX(Working!$A$2:INDEX(Working!$A:$A, MATCH("zzz", Working!$A:$A)), MOD(ROW()-ROW(G$2)+G$1, COUNTA(Working!$A$2:INDEX(Working!$A:$A, MATCH("zzz", Working!$A:$A)))) + 1))</f>
        <v/>
      </c>
      <c r="H184" t="str" cm="1">
        <f t="array" ref="H184">IF(Working!$A184="","",INDEX(Working!$A$2:INDEX(Working!$A:$A, MATCH("zzz", Working!$A:$A)), MOD(ROW()-ROW(H$2)+H$1, COUNTA(Working!$A$2:INDEX(Working!$A:$A, MATCH("zzz", Working!$A:$A)))) + 1))</f>
        <v/>
      </c>
      <c r="I184" t="str" cm="1">
        <f t="array" ref="I184">IF(Working!$A184="","",INDEX(Working!$A$2:INDEX(Working!$A:$A, MATCH("zzz", Working!$A:$A)), MOD(ROW()-ROW(I$2)+I$1, COUNTA(Working!$A$2:INDEX(Working!$A:$A, MATCH("zzz", Working!$A:$A)))) + 1))</f>
        <v/>
      </c>
      <c r="J184" t="str" cm="1">
        <f t="array" ref="J184">IF(Working!$A184="","",INDEX(Working!$A$2:INDEX(Working!$A:$A, MATCH("zzz", Working!$A:$A)), MOD(ROW()-ROW(J$2)+J$1, COUNTA(Working!$A$2:INDEX(Working!$A:$A, MATCH("zzz", Working!$A:$A)))) + 1))</f>
        <v/>
      </c>
      <c r="K184" t="str" cm="1">
        <f t="array" ref="K184">IF(Working!$A184="","",INDEX(Working!$A$2:INDEX(Working!$A:$A, MATCH("zzz", Working!$A:$A)), MOD(ROW()-ROW(K$2)+K$1, COUNTA(Working!$A$2:INDEX(Working!$A:$A, MATCH("zzz", Working!$A:$A)))) + 1))</f>
        <v/>
      </c>
      <c r="L184" t="str" cm="1">
        <f t="array" ref="L184">IF(Working!$A184="","",INDEX(Working!$A$2:INDEX(Working!$A:$A, MATCH("zzz", Working!$A:$A)), MOD(ROW()-ROW(L$2)+L$1, COUNTA(Working!$A$2:INDEX(Working!$A:$A, MATCH("zzz", Working!$A:$A)))) + 1))</f>
        <v/>
      </c>
    </row>
    <row r="185" spans="3:12" ht="15.75" customHeight="1" x14ac:dyDescent="0.2">
      <c r="C185" t="str" cm="1">
        <f t="array" ref="C185">IF(Working!$A185="","",INDEX(Working!$A$2:INDEX(Working!$A:$A, MATCH("zzz", Working!$A:$A)), MOD(ROW()-ROW(C$2)+C$1, COUNTA(Working!$A$2:INDEX(Working!$A:$A, MATCH("zzz", Working!$A:$A)))) + 1))</f>
        <v/>
      </c>
      <c r="D185" t="str" cm="1">
        <f t="array" ref="D185">IF(Working!$A185="","",INDEX(Working!$A$2:INDEX(Working!$A:$A, MATCH("zzz", Working!$A:$A)), MOD(ROW()-ROW(D$2)+D$1, COUNTA(Working!$A$2:INDEX(Working!$A:$A, MATCH("zzz", Working!$A:$A)))) + 1))</f>
        <v/>
      </c>
      <c r="E185" t="str" cm="1">
        <f t="array" ref="E185">IF(Working!$A185="","",INDEX(Working!$A$2:INDEX(Working!$A:$A, MATCH("zzz", Working!$A:$A)), MOD(ROW()-ROW(E$2)+E$1, COUNTA(Working!$A$2:INDEX(Working!$A:$A, MATCH("zzz", Working!$A:$A)))) + 1))</f>
        <v/>
      </c>
      <c r="F185" t="str" cm="1">
        <f t="array" ref="F185">IF(Working!$A185="","",INDEX(Working!$A$2:INDEX(Working!$A:$A, MATCH("zzz", Working!$A:$A)), MOD(ROW()-ROW(F$2)+F$1, COUNTA(Working!$A$2:INDEX(Working!$A:$A, MATCH("zzz", Working!$A:$A)))) + 1))</f>
        <v/>
      </c>
      <c r="G185" t="str" cm="1">
        <f t="array" ref="G185">IF(Working!$A185="","",INDEX(Working!$A$2:INDEX(Working!$A:$A, MATCH("zzz", Working!$A:$A)), MOD(ROW()-ROW(G$2)+G$1, COUNTA(Working!$A$2:INDEX(Working!$A:$A, MATCH("zzz", Working!$A:$A)))) + 1))</f>
        <v/>
      </c>
      <c r="H185" t="str" cm="1">
        <f t="array" ref="H185">IF(Working!$A185="","",INDEX(Working!$A$2:INDEX(Working!$A:$A, MATCH("zzz", Working!$A:$A)), MOD(ROW()-ROW(H$2)+H$1, COUNTA(Working!$A$2:INDEX(Working!$A:$A, MATCH("zzz", Working!$A:$A)))) + 1))</f>
        <v/>
      </c>
      <c r="I185" t="str" cm="1">
        <f t="array" ref="I185">IF(Working!$A185="","",INDEX(Working!$A$2:INDEX(Working!$A:$A, MATCH("zzz", Working!$A:$A)), MOD(ROW()-ROW(I$2)+I$1, COUNTA(Working!$A$2:INDEX(Working!$A:$A, MATCH("zzz", Working!$A:$A)))) + 1))</f>
        <v/>
      </c>
      <c r="J185" t="str" cm="1">
        <f t="array" ref="J185">IF(Working!$A185="","",INDEX(Working!$A$2:INDEX(Working!$A:$A, MATCH("zzz", Working!$A:$A)), MOD(ROW()-ROW(J$2)+J$1, COUNTA(Working!$A$2:INDEX(Working!$A:$A, MATCH("zzz", Working!$A:$A)))) + 1))</f>
        <v/>
      </c>
      <c r="K185" t="str" cm="1">
        <f t="array" ref="K185">IF(Working!$A185="","",INDEX(Working!$A$2:INDEX(Working!$A:$A, MATCH("zzz", Working!$A:$A)), MOD(ROW()-ROW(K$2)+K$1, COUNTA(Working!$A$2:INDEX(Working!$A:$A, MATCH("zzz", Working!$A:$A)))) + 1))</f>
        <v/>
      </c>
      <c r="L185" t="str" cm="1">
        <f t="array" ref="L185">IF(Working!$A185="","",INDEX(Working!$A$2:INDEX(Working!$A:$A, MATCH("zzz", Working!$A:$A)), MOD(ROW()-ROW(L$2)+L$1, COUNTA(Working!$A$2:INDEX(Working!$A:$A, MATCH("zzz", Working!$A:$A)))) + 1))</f>
        <v/>
      </c>
    </row>
    <row r="186" spans="3:12" ht="15.75" customHeight="1" x14ac:dyDescent="0.2">
      <c r="C186" t="str" cm="1">
        <f t="array" ref="C186">IF(Working!$A186="","",INDEX(Working!$A$2:INDEX(Working!$A:$A, MATCH("zzz", Working!$A:$A)), MOD(ROW()-ROW(C$2)+C$1, COUNTA(Working!$A$2:INDEX(Working!$A:$A, MATCH("zzz", Working!$A:$A)))) + 1))</f>
        <v/>
      </c>
      <c r="D186" t="str" cm="1">
        <f t="array" ref="D186">IF(Working!$A186="","",INDEX(Working!$A$2:INDEX(Working!$A:$A, MATCH("zzz", Working!$A:$A)), MOD(ROW()-ROW(D$2)+D$1, COUNTA(Working!$A$2:INDEX(Working!$A:$A, MATCH("zzz", Working!$A:$A)))) + 1))</f>
        <v/>
      </c>
      <c r="E186" t="str" cm="1">
        <f t="array" ref="E186">IF(Working!$A186="","",INDEX(Working!$A$2:INDEX(Working!$A:$A, MATCH("zzz", Working!$A:$A)), MOD(ROW()-ROW(E$2)+E$1, COUNTA(Working!$A$2:INDEX(Working!$A:$A, MATCH("zzz", Working!$A:$A)))) + 1))</f>
        <v/>
      </c>
      <c r="F186" t="str" cm="1">
        <f t="array" ref="F186">IF(Working!$A186="","",INDEX(Working!$A$2:INDEX(Working!$A:$A, MATCH("zzz", Working!$A:$A)), MOD(ROW()-ROW(F$2)+F$1, COUNTA(Working!$A$2:INDEX(Working!$A:$A, MATCH("zzz", Working!$A:$A)))) + 1))</f>
        <v/>
      </c>
      <c r="G186" t="str" cm="1">
        <f t="array" ref="G186">IF(Working!$A186="","",INDEX(Working!$A$2:INDEX(Working!$A:$A, MATCH("zzz", Working!$A:$A)), MOD(ROW()-ROW(G$2)+G$1, COUNTA(Working!$A$2:INDEX(Working!$A:$A, MATCH("zzz", Working!$A:$A)))) + 1))</f>
        <v/>
      </c>
      <c r="H186" t="str" cm="1">
        <f t="array" ref="H186">IF(Working!$A186="","",INDEX(Working!$A$2:INDEX(Working!$A:$A, MATCH("zzz", Working!$A:$A)), MOD(ROW()-ROW(H$2)+H$1, COUNTA(Working!$A$2:INDEX(Working!$A:$A, MATCH("zzz", Working!$A:$A)))) + 1))</f>
        <v/>
      </c>
      <c r="I186" t="str" cm="1">
        <f t="array" ref="I186">IF(Working!$A186="","",INDEX(Working!$A$2:INDEX(Working!$A:$A, MATCH("zzz", Working!$A:$A)), MOD(ROW()-ROW(I$2)+I$1, COUNTA(Working!$A$2:INDEX(Working!$A:$A, MATCH("zzz", Working!$A:$A)))) + 1))</f>
        <v/>
      </c>
      <c r="J186" t="str" cm="1">
        <f t="array" ref="J186">IF(Working!$A186="","",INDEX(Working!$A$2:INDEX(Working!$A:$A, MATCH("zzz", Working!$A:$A)), MOD(ROW()-ROW(J$2)+J$1, COUNTA(Working!$A$2:INDEX(Working!$A:$A, MATCH("zzz", Working!$A:$A)))) + 1))</f>
        <v/>
      </c>
      <c r="K186" t="str" cm="1">
        <f t="array" ref="K186">IF(Working!$A186="","",INDEX(Working!$A$2:INDEX(Working!$A:$A, MATCH("zzz", Working!$A:$A)), MOD(ROW()-ROW(K$2)+K$1, COUNTA(Working!$A$2:INDEX(Working!$A:$A, MATCH("zzz", Working!$A:$A)))) + 1))</f>
        <v/>
      </c>
      <c r="L186" t="str" cm="1">
        <f t="array" ref="L186">IF(Working!$A186="","",INDEX(Working!$A$2:INDEX(Working!$A:$A, MATCH("zzz", Working!$A:$A)), MOD(ROW()-ROW(L$2)+L$1, COUNTA(Working!$A$2:INDEX(Working!$A:$A, MATCH("zzz", Working!$A:$A)))) + 1))</f>
        <v/>
      </c>
    </row>
    <row r="187" spans="3:12" ht="15.75" customHeight="1" x14ac:dyDescent="0.2">
      <c r="C187" t="str" cm="1">
        <f t="array" ref="C187">IF(Working!$A187="","",INDEX(Working!$A$2:INDEX(Working!$A:$A, MATCH("zzz", Working!$A:$A)), MOD(ROW()-ROW(C$2)+C$1, COUNTA(Working!$A$2:INDEX(Working!$A:$A, MATCH("zzz", Working!$A:$A)))) + 1))</f>
        <v/>
      </c>
      <c r="D187" t="str" cm="1">
        <f t="array" ref="D187">IF(Working!$A187="","",INDEX(Working!$A$2:INDEX(Working!$A:$A, MATCH("zzz", Working!$A:$A)), MOD(ROW()-ROW(D$2)+D$1, COUNTA(Working!$A$2:INDEX(Working!$A:$A, MATCH("zzz", Working!$A:$A)))) + 1))</f>
        <v/>
      </c>
      <c r="E187" t="str" cm="1">
        <f t="array" ref="E187">IF(Working!$A187="","",INDEX(Working!$A$2:INDEX(Working!$A:$A, MATCH("zzz", Working!$A:$A)), MOD(ROW()-ROW(E$2)+E$1, COUNTA(Working!$A$2:INDEX(Working!$A:$A, MATCH("zzz", Working!$A:$A)))) + 1))</f>
        <v/>
      </c>
      <c r="F187" t="str" cm="1">
        <f t="array" ref="F187">IF(Working!$A187="","",INDEX(Working!$A$2:INDEX(Working!$A:$A, MATCH("zzz", Working!$A:$A)), MOD(ROW()-ROW(F$2)+F$1, COUNTA(Working!$A$2:INDEX(Working!$A:$A, MATCH("zzz", Working!$A:$A)))) + 1))</f>
        <v/>
      </c>
      <c r="G187" t="str" cm="1">
        <f t="array" ref="G187">IF(Working!$A187="","",INDEX(Working!$A$2:INDEX(Working!$A:$A, MATCH("zzz", Working!$A:$A)), MOD(ROW()-ROW(G$2)+G$1, COUNTA(Working!$A$2:INDEX(Working!$A:$A, MATCH("zzz", Working!$A:$A)))) + 1))</f>
        <v/>
      </c>
      <c r="H187" t="str" cm="1">
        <f t="array" ref="H187">IF(Working!$A187="","",INDEX(Working!$A$2:INDEX(Working!$A:$A, MATCH("zzz", Working!$A:$A)), MOD(ROW()-ROW(H$2)+H$1, COUNTA(Working!$A$2:INDEX(Working!$A:$A, MATCH("zzz", Working!$A:$A)))) + 1))</f>
        <v/>
      </c>
      <c r="I187" t="str" cm="1">
        <f t="array" ref="I187">IF(Working!$A187="","",INDEX(Working!$A$2:INDEX(Working!$A:$A, MATCH("zzz", Working!$A:$A)), MOD(ROW()-ROW(I$2)+I$1, COUNTA(Working!$A$2:INDEX(Working!$A:$A, MATCH("zzz", Working!$A:$A)))) + 1))</f>
        <v/>
      </c>
      <c r="J187" t="str" cm="1">
        <f t="array" ref="J187">IF(Working!$A187="","",INDEX(Working!$A$2:INDEX(Working!$A:$A, MATCH("zzz", Working!$A:$A)), MOD(ROW()-ROW(J$2)+J$1, COUNTA(Working!$A$2:INDEX(Working!$A:$A, MATCH("zzz", Working!$A:$A)))) + 1))</f>
        <v/>
      </c>
      <c r="K187" t="str" cm="1">
        <f t="array" ref="K187">IF(Working!$A187="","",INDEX(Working!$A$2:INDEX(Working!$A:$A, MATCH("zzz", Working!$A:$A)), MOD(ROW()-ROW(K$2)+K$1, COUNTA(Working!$A$2:INDEX(Working!$A:$A, MATCH("zzz", Working!$A:$A)))) + 1))</f>
        <v/>
      </c>
      <c r="L187" t="str" cm="1">
        <f t="array" ref="L187">IF(Working!$A187="","",INDEX(Working!$A$2:INDEX(Working!$A:$A, MATCH("zzz", Working!$A:$A)), MOD(ROW()-ROW(L$2)+L$1, COUNTA(Working!$A$2:INDEX(Working!$A:$A, MATCH("zzz", Working!$A:$A)))) + 1))</f>
        <v/>
      </c>
    </row>
    <row r="188" spans="3:12" ht="15.75" customHeight="1" x14ac:dyDescent="0.2">
      <c r="C188" t="str" cm="1">
        <f t="array" ref="C188">IF(Working!$A188="","",INDEX(Working!$A$2:INDEX(Working!$A:$A, MATCH("zzz", Working!$A:$A)), MOD(ROW()-ROW(C$2)+C$1, COUNTA(Working!$A$2:INDEX(Working!$A:$A, MATCH("zzz", Working!$A:$A)))) + 1))</f>
        <v/>
      </c>
      <c r="D188" t="str" cm="1">
        <f t="array" ref="D188">IF(Working!$A188="","",INDEX(Working!$A$2:INDEX(Working!$A:$A, MATCH("zzz", Working!$A:$A)), MOD(ROW()-ROW(D$2)+D$1, COUNTA(Working!$A$2:INDEX(Working!$A:$A, MATCH("zzz", Working!$A:$A)))) + 1))</f>
        <v/>
      </c>
      <c r="E188" t="str" cm="1">
        <f t="array" ref="E188">IF(Working!$A188="","",INDEX(Working!$A$2:INDEX(Working!$A:$A, MATCH("zzz", Working!$A:$A)), MOD(ROW()-ROW(E$2)+E$1, COUNTA(Working!$A$2:INDEX(Working!$A:$A, MATCH("zzz", Working!$A:$A)))) + 1))</f>
        <v/>
      </c>
      <c r="F188" t="str" cm="1">
        <f t="array" ref="F188">IF(Working!$A188="","",INDEX(Working!$A$2:INDEX(Working!$A:$A, MATCH("zzz", Working!$A:$A)), MOD(ROW()-ROW(F$2)+F$1, COUNTA(Working!$A$2:INDEX(Working!$A:$A, MATCH("zzz", Working!$A:$A)))) + 1))</f>
        <v/>
      </c>
      <c r="G188" t="str" cm="1">
        <f t="array" ref="G188">IF(Working!$A188="","",INDEX(Working!$A$2:INDEX(Working!$A:$A, MATCH("zzz", Working!$A:$A)), MOD(ROW()-ROW(G$2)+G$1, COUNTA(Working!$A$2:INDEX(Working!$A:$A, MATCH("zzz", Working!$A:$A)))) + 1))</f>
        <v/>
      </c>
      <c r="H188" t="str" cm="1">
        <f t="array" ref="H188">IF(Working!$A188="","",INDEX(Working!$A$2:INDEX(Working!$A:$A, MATCH("zzz", Working!$A:$A)), MOD(ROW()-ROW(H$2)+H$1, COUNTA(Working!$A$2:INDEX(Working!$A:$A, MATCH("zzz", Working!$A:$A)))) + 1))</f>
        <v/>
      </c>
      <c r="I188" t="str" cm="1">
        <f t="array" ref="I188">IF(Working!$A188="","",INDEX(Working!$A$2:INDEX(Working!$A:$A, MATCH("zzz", Working!$A:$A)), MOD(ROW()-ROW(I$2)+I$1, COUNTA(Working!$A$2:INDEX(Working!$A:$A, MATCH("zzz", Working!$A:$A)))) + 1))</f>
        <v/>
      </c>
      <c r="J188" t="str" cm="1">
        <f t="array" ref="J188">IF(Working!$A188="","",INDEX(Working!$A$2:INDEX(Working!$A:$A, MATCH("zzz", Working!$A:$A)), MOD(ROW()-ROW(J$2)+J$1, COUNTA(Working!$A$2:INDEX(Working!$A:$A, MATCH("zzz", Working!$A:$A)))) + 1))</f>
        <v/>
      </c>
      <c r="K188" t="str" cm="1">
        <f t="array" ref="K188">IF(Working!$A188="","",INDEX(Working!$A$2:INDEX(Working!$A:$A, MATCH("zzz", Working!$A:$A)), MOD(ROW()-ROW(K$2)+K$1, COUNTA(Working!$A$2:INDEX(Working!$A:$A, MATCH("zzz", Working!$A:$A)))) + 1))</f>
        <v/>
      </c>
      <c r="L188" t="str" cm="1">
        <f t="array" ref="L188">IF(Working!$A188="","",INDEX(Working!$A$2:INDEX(Working!$A:$A, MATCH("zzz", Working!$A:$A)), MOD(ROW()-ROW(L$2)+L$1, COUNTA(Working!$A$2:INDEX(Working!$A:$A, MATCH("zzz", Working!$A:$A)))) + 1))</f>
        <v/>
      </c>
    </row>
    <row r="189" spans="3:12" ht="15.75" customHeight="1" x14ac:dyDescent="0.2">
      <c r="C189" t="str" cm="1">
        <f t="array" ref="C189">IF(Working!$A189="","",INDEX(Working!$A$2:INDEX(Working!$A:$A, MATCH("zzz", Working!$A:$A)), MOD(ROW()-ROW(C$2)+C$1, COUNTA(Working!$A$2:INDEX(Working!$A:$A, MATCH("zzz", Working!$A:$A)))) + 1))</f>
        <v/>
      </c>
      <c r="D189" t="str" cm="1">
        <f t="array" ref="D189">IF(Working!$A189="","",INDEX(Working!$A$2:INDEX(Working!$A:$A, MATCH("zzz", Working!$A:$A)), MOD(ROW()-ROW(D$2)+D$1, COUNTA(Working!$A$2:INDEX(Working!$A:$A, MATCH("zzz", Working!$A:$A)))) + 1))</f>
        <v/>
      </c>
      <c r="E189" t="str" cm="1">
        <f t="array" ref="E189">IF(Working!$A189="","",INDEX(Working!$A$2:INDEX(Working!$A:$A, MATCH("zzz", Working!$A:$A)), MOD(ROW()-ROW(E$2)+E$1, COUNTA(Working!$A$2:INDEX(Working!$A:$A, MATCH("zzz", Working!$A:$A)))) + 1))</f>
        <v/>
      </c>
      <c r="F189" t="str" cm="1">
        <f t="array" ref="F189">IF(Working!$A189="","",INDEX(Working!$A$2:INDEX(Working!$A:$A, MATCH("zzz", Working!$A:$A)), MOD(ROW()-ROW(F$2)+F$1, COUNTA(Working!$A$2:INDEX(Working!$A:$A, MATCH("zzz", Working!$A:$A)))) + 1))</f>
        <v/>
      </c>
      <c r="G189" t="str" cm="1">
        <f t="array" ref="G189">IF(Working!$A189="","",INDEX(Working!$A$2:INDEX(Working!$A:$A, MATCH("zzz", Working!$A:$A)), MOD(ROW()-ROW(G$2)+G$1, COUNTA(Working!$A$2:INDEX(Working!$A:$A, MATCH("zzz", Working!$A:$A)))) + 1))</f>
        <v/>
      </c>
      <c r="H189" t="str" cm="1">
        <f t="array" ref="H189">IF(Working!$A189="","",INDEX(Working!$A$2:INDEX(Working!$A:$A, MATCH("zzz", Working!$A:$A)), MOD(ROW()-ROW(H$2)+H$1, COUNTA(Working!$A$2:INDEX(Working!$A:$A, MATCH("zzz", Working!$A:$A)))) + 1))</f>
        <v/>
      </c>
      <c r="I189" t="str" cm="1">
        <f t="array" ref="I189">IF(Working!$A189="","",INDEX(Working!$A$2:INDEX(Working!$A:$A, MATCH("zzz", Working!$A:$A)), MOD(ROW()-ROW(I$2)+I$1, COUNTA(Working!$A$2:INDEX(Working!$A:$A, MATCH("zzz", Working!$A:$A)))) + 1))</f>
        <v/>
      </c>
      <c r="J189" t="str" cm="1">
        <f t="array" ref="J189">IF(Working!$A189="","",INDEX(Working!$A$2:INDEX(Working!$A:$A, MATCH("zzz", Working!$A:$A)), MOD(ROW()-ROW(J$2)+J$1, COUNTA(Working!$A$2:INDEX(Working!$A:$A, MATCH("zzz", Working!$A:$A)))) + 1))</f>
        <v/>
      </c>
      <c r="K189" t="str" cm="1">
        <f t="array" ref="K189">IF(Working!$A189="","",INDEX(Working!$A$2:INDEX(Working!$A:$A, MATCH("zzz", Working!$A:$A)), MOD(ROW()-ROW(K$2)+K$1, COUNTA(Working!$A$2:INDEX(Working!$A:$A, MATCH("zzz", Working!$A:$A)))) + 1))</f>
        <v/>
      </c>
      <c r="L189" t="str" cm="1">
        <f t="array" ref="L189">IF(Working!$A189="","",INDEX(Working!$A$2:INDEX(Working!$A:$A, MATCH("zzz", Working!$A:$A)), MOD(ROW()-ROW(L$2)+L$1, COUNTA(Working!$A$2:INDEX(Working!$A:$A, MATCH("zzz", Working!$A:$A)))) + 1))</f>
        <v/>
      </c>
    </row>
    <row r="190" spans="3:12" ht="15.75" customHeight="1" x14ac:dyDescent="0.2">
      <c r="C190" t="str" cm="1">
        <f t="array" ref="C190">IF(Working!$A190="","",INDEX(Working!$A$2:INDEX(Working!$A:$A, MATCH("zzz", Working!$A:$A)), MOD(ROW()-ROW(C$2)+C$1, COUNTA(Working!$A$2:INDEX(Working!$A:$A, MATCH("zzz", Working!$A:$A)))) + 1))</f>
        <v/>
      </c>
      <c r="D190" t="str" cm="1">
        <f t="array" ref="D190">IF(Working!$A190="","",INDEX(Working!$A$2:INDEX(Working!$A:$A, MATCH("zzz", Working!$A:$A)), MOD(ROW()-ROW(D$2)+D$1, COUNTA(Working!$A$2:INDEX(Working!$A:$A, MATCH("zzz", Working!$A:$A)))) + 1))</f>
        <v/>
      </c>
      <c r="E190" t="str" cm="1">
        <f t="array" ref="E190">IF(Working!$A190="","",INDEX(Working!$A$2:INDEX(Working!$A:$A, MATCH("zzz", Working!$A:$A)), MOD(ROW()-ROW(E$2)+E$1, COUNTA(Working!$A$2:INDEX(Working!$A:$A, MATCH("zzz", Working!$A:$A)))) + 1))</f>
        <v/>
      </c>
      <c r="F190" t="str" cm="1">
        <f t="array" ref="F190">IF(Working!$A190="","",INDEX(Working!$A$2:INDEX(Working!$A:$A, MATCH("zzz", Working!$A:$A)), MOD(ROW()-ROW(F$2)+F$1, COUNTA(Working!$A$2:INDEX(Working!$A:$A, MATCH("zzz", Working!$A:$A)))) + 1))</f>
        <v/>
      </c>
      <c r="G190" t="str" cm="1">
        <f t="array" ref="G190">IF(Working!$A190="","",INDEX(Working!$A$2:INDEX(Working!$A:$A, MATCH("zzz", Working!$A:$A)), MOD(ROW()-ROW(G$2)+G$1, COUNTA(Working!$A$2:INDEX(Working!$A:$A, MATCH("zzz", Working!$A:$A)))) + 1))</f>
        <v/>
      </c>
      <c r="H190" t="str" cm="1">
        <f t="array" ref="H190">IF(Working!$A190="","",INDEX(Working!$A$2:INDEX(Working!$A:$A, MATCH("zzz", Working!$A:$A)), MOD(ROW()-ROW(H$2)+H$1, COUNTA(Working!$A$2:INDEX(Working!$A:$A, MATCH("zzz", Working!$A:$A)))) + 1))</f>
        <v/>
      </c>
      <c r="I190" t="str" cm="1">
        <f t="array" ref="I190">IF(Working!$A190="","",INDEX(Working!$A$2:INDEX(Working!$A:$A, MATCH("zzz", Working!$A:$A)), MOD(ROW()-ROW(I$2)+I$1, COUNTA(Working!$A$2:INDEX(Working!$A:$A, MATCH("zzz", Working!$A:$A)))) + 1))</f>
        <v/>
      </c>
      <c r="J190" t="str" cm="1">
        <f t="array" ref="J190">IF(Working!$A190="","",INDEX(Working!$A$2:INDEX(Working!$A:$A, MATCH("zzz", Working!$A:$A)), MOD(ROW()-ROW(J$2)+J$1, COUNTA(Working!$A$2:INDEX(Working!$A:$A, MATCH("zzz", Working!$A:$A)))) + 1))</f>
        <v/>
      </c>
      <c r="K190" t="str" cm="1">
        <f t="array" ref="K190">IF(Working!$A190="","",INDEX(Working!$A$2:INDEX(Working!$A:$A, MATCH("zzz", Working!$A:$A)), MOD(ROW()-ROW(K$2)+K$1, COUNTA(Working!$A$2:INDEX(Working!$A:$A, MATCH("zzz", Working!$A:$A)))) + 1))</f>
        <v/>
      </c>
      <c r="L190" t="str" cm="1">
        <f t="array" ref="L190">IF(Working!$A190="","",INDEX(Working!$A$2:INDEX(Working!$A:$A, MATCH("zzz", Working!$A:$A)), MOD(ROW()-ROW(L$2)+L$1, COUNTA(Working!$A$2:INDEX(Working!$A:$A, MATCH("zzz", Working!$A:$A)))) + 1))</f>
        <v/>
      </c>
    </row>
    <row r="191" spans="3:12" ht="15.75" customHeight="1" x14ac:dyDescent="0.2">
      <c r="C191" t="str" cm="1">
        <f t="array" ref="C191">IF(Working!$A191="","",INDEX(Working!$A$2:INDEX(Working!$A:$A, MATCH("zzz", Working!$A:$A)), MOD(ROW()-ROW(C$2)+C$1, COUNTA(Working!$A$2:INDEX(Working!$A:$A, MATCH("zzz", Working!$A:$A)))) + 1))</f>
        <v/>
      </c>
      <c r="D191" t="str" cm="1">
        <f t="array" ref="D191">IF(Working!$A191="","",INDEX(Working!$A$2:INDEX(Working!$A:$A, MATCH("zzz", Working!$A:$A)), MOD(ROW()-ROW(D$2)+D$1, COUNTA(Working!$A$2:INDEX(Working!$A:$A, MATCH("zzz", Working!$A:$A)))) + 1))</f>
        <v/>
      </c>
      <c r="E191" t="str" cm="1">
        <f t="array" ref="E191">IF(Working!$A191="","",INDEX(Working!$A$2:INDEX(Working!$A:$A, MATCH("zzz", Working!$A:$A)), MOD(ROW()-ROW(E$2)+E$1, COUNTA(Working!$A$2:INDEX(Working!$A:$A, MATCH("zzz", Working!$A:$A)))) + 1))</f>
        <v/>
      </c>
      <c r="F191" t="str" cm="1">
        <f t="array" ref="F191">IF(Working!$A191="","",INDEX(Working!$A$2:INDEX(Working!$A:$A, MATCH("zzz", Working!$A:$A)), MOD(ROW()-ROW(F$2)+F$1, COUNTA(Working!$A$2:INDEX(Working!$A:$A, MATCH("zzz", Working!$A:$A)))) + 1))</f>
        <v/>
      </c>
      <c r="G191" t="str" cm="1">
        <f t="array" ref="G191">IF(Working!$A191="","",INDEX(Working!$A$2:INDEX(Working!$A:$A, MATCH("zzz", Working!$A:$A)), MOD(ROW()-ROW(G$2)+G$1, COUNTA(Working!$A$2:INDEX(Working!$A:$A, MATCH("zzz", Working!$A:$A)))) + 1))</f>
        <v/>
      </c>
      <c r="H191" t="str" cm="1">
        <f t="array" ref="H191">IF(Working!$A191="","",INDEX(Working!$A$2:INDEX(Working!$A:$A, MATCH("zzz", Working!$A:$A)), MOD(ROW()-ROW(H$2)+H$1, COUNTA(Working!$A$2:INDEX(Working!$A:$A, MATCH("zzz", Working!$A:$A)))) + 1))</f>
        <v/>
      </c>
      <c r="I191" t="str" cm="1">
        <f t="array" ref="I191">IF(Working!$A191="","",INDEX(Working!$A$2:INDEX(Working!$A:$A, MATCH("zzz", Working!$A:$A)), MOD(ROW()-ROW(I$2)+I$1, COUNTA(Working!$A$2:INDEX(Working!$A:$A, MATCH("zzz", Working!$A:$A)))) + 1))</f>
        <v/>
      </c>
      <c r="J191" t="str" cm="1">
        <f t="array" ref="J191">IF(Working!$A191="","",INDEX(Working!$A$2:INDEX(Working!$A:$A, MATCH("zzz", Working!$A:$A)), MOD(ROW()-ROW(J$2)+J$1, COUNTA(Working!$A$2:INDEX(Working!$A:$A, MATCH("zzz", Working!$A:$A)))) + 1))</f>
        <v/>
      </c>
      <c r="K191" t="str" cm="1">
        <f t="array" ref="K191">IF(Working!$A191="","",INDEX(Working!$A$2:INDEX(Working!$A:$A, MATCH("zzz", Working!$A:$A)), MOD(ROW()-ROW(K$2)+K$1, COUNTA(Working!$A$2:INDEX(Working!$A:$A, MATCH("zzz", Working!$A:$A)))) + 1))</f>
        <v/>
      </c>
      <c r="L191" t="str" cm="1">
        <f t="array" ref="L191">IF(Working!$A191="","",INDEX(Working!$A$2:INDEX(Working!$A:$A, MATCH("zzz", Working!$A:$A)), MOD(ROW()-ROW(L$2)+L$1, COUNTA(Working!$A$2:INDEX(Working!$A:$A, MATCH("zzz", Working!$A:$A)))) + 1))</f>
        <v/>
      </c>
    </row>
    <row r="192" spans="3:12" ht="15.75" customHeight="1" x14ac:dyDescent="0.2">
      <c r="C192" t="str" cm="1">
        <f t="array" ref="C192">IF(Working!$A192="","",INDEX(Working!$A$2:INDEX(Working!$A:$A, MATCH("zzz", Working!$A:$A)), MOD(ROW()-ROW(C$2)+C$1, COUNTA(Working!$A$2:INDEX(Working!$A:$A, MATCH("zzz", Working!$A:$A)))) + 1))</f>
        <v/>
      </c>
      <c r="D192" t="str" cm="1">
        <f t="array" ref="D192">IF(Working!$A192="","",INDEX(Working!$A$2:INDEX(Working!$A:$A, MATCH("zzz", Working!$A:$A)), MOD(ROW()-ROW(D$2)+D$1, COUNTA(Working!$A$2:INDEX(Working!$A:$A, MATCH("zzz", Working!$A:$A)))) + 1))</f>
        <v/>
      </c>
      <c r="E192" t="str" cm="1">
        <f t="array" ref="E192">IF(Working!$A192="","",INDEX(Working!$A$2:INDEX(Working!$A:$A, MATCH("zzz", Working!$A:$A)), MOD(ROW()-ROW(E$2)+E$1, COUNTA(Working!$A$2:INDEX(Working!$A:$A, MATCH("zzz", Working!$A:$A)))) + 1))</f>
        <v/>
      </c>
      <c r="F192" t="str" cm="1">
        <f t="array" ref="F192">IF(Working!$A192="","",INDEX(Working!$A$2:INDEX(Working!$A:$A, MATCH("zzz", Working!$A:$A)), MOD(ROW()-ROW(F$2)+F$1, COUNTA(Working!$A$2:INDEX(Working!$A:$A, MATCH("zzz", Working!$A:$A)))) + 1))</f>
        <v/>
      </c>
      <c r="G192" t="str" cm="1">
        <f t="array" ref="G192">IF(Working!$A192="","",INDEX(Working!$A$2:INDEX(Working!$A:$A, MATCH("zzz", Working!$A:$A)), MOD(ROW()-ROW(G$2)+G$1, COUNTA(Working!$A$2:INDEX(Working!$A:$A, MATCH("zzz", Working!$A:$A)))) + 1))</f>
        <v/>
      </c>
      <c r="H192" t="str" cm="1">
        <f t="array" ref="H192">IF(Working!$A192="","",INDEX(Working!$A$2:INDEX(Working!$A:$A, MATCH("zzz", Working!$A:$A)), MOD(ROW()-ROW(H$2)+H$1, COUNTA(Working!$A$2:INDEX(Working!$A:$A, MATCH("zzz", Working!$A:$A)))) + 1))</f>
        <v/>
      </c>
      <c r="I192" t="str" cm="1">
        <f t="array" ref="I192">IF(Working!$A192="","",INDEX(Working!$A$2:INDEX(Working!$A:$A, MATCH("zzz", Working!$A:$A)), MOD(ROW()-ROW(I$2)+I$1, COUNTA(Working!$A$2:INDEX(Working!$A:$A, MATCH("zzz", Working!$A:$A)))) + 1))</f>
        <v/>
      </c>
      <c r="J192" t="str" cm="1">
        <f t="array" ref="J192">IF(Working!$A192="","",INDEX(Working!$A$2:INDEX(Working!$A:$A, MATCH("zzz", Working!$A:$A)), MOD(ROW()-ROW(J$2)+J$1, COUNTA(Working!$A$2:INDEX(Working!$A:$A, MATCH("zzz", Working!$A:$A)))) + 1))</f>
        <v/>
      </c>
      <c r="K192" t="str" cm="1">
        <f t="array" ref="K192">IF(Working!$A192="","",INDEX(Working!$A$2:INDEX(Working!$A:$A, MATCH("zzz", Working!$A:$A)), MOD(ROW()-ROW(K$2)+K$1, COUNTA(Working!$A$2:INDEX(Working!$A:$A, MATCH("zzz", Working!$A:$A)))) + 1))</f>
        <v/>
      </c>
      <c r="L192" t="str" cm="1">
        <f t="array" ref="L192">IF(Working!$A192="","",INDEX(Working!$A$2:INDEX(Working!$A:$A, MATCH("zzz", Working!$A:$A)), MOD(ROW()-ROW(L$2)+L$1, COUNTA(Working!$A$2:INDEX(Working!$A:$A, MATCH("zzz", Working!$A:$A)))) + 1))</f>
        <v/>
      </c>
    </row>
    <row r="193" spans="3:12" ht="15.75" customHeight="1" x14ac:dyDescent="0.2">
      <c r="C193" t="str" cm="1">
        <f t="array" ref="C193">IF(Working!$A193="","",INDEX(Working!$A$2:INDEX(Working!$A:$A, MATCH("zzz", Working!$A:$A)), MOD(ROW()-ROW(C$2)+C$1, COUNTA(Working!$A$2:INDEX(Working!$A:$A, MATCH("zzz", Working!$A:$A)))) + 1))</f>
        <v/>
      </c>
      <c r="D193" t="str" cm="1">
        <f t="array" ref="D193">IF(Working!$A193="","",INDEX(Working!$A$2:INDEX(Working!$A:$A, MATCH("zzz", Working!$A:$A)), MOD(ROW()-ROW(D$2)+D$1, COUNTA(Working!$A$2:INDEX(Working!$A:$A, MATCH("zzz", Working!$A:$A)))) + 1))</f>
        <v/>
      </c>
      <c r="E193" t="str" cm="1">
        <f t="array" ref="E193">IF(Working!$A193="","",INDEX(Working!$A$2:INDEX(Working!$A:$A, MATCH("zzz", Working!$A:$A)), MOD(ROW()-ROW(E$2)+E$1, COUNTA(Working!$A$2:INDEX(Working!$A:$A, MATCH("zzz", Working!$A:$A)))) + 1))</f>
        <v/>
      </c>
      <c r="F193" t="str" cm="1">
        <f t="array" ref="F193">IF(Working!$A193="","",INDEX(Working!$A$2:INDEX(Working!$A:$A, MATCH("zzz", Working!$A:$A)), MOD(ROW()-ROW(F$2)+F$1, COUNTA(Working!$A$2:INDEX(Working!$A:$A, MATCH("zzz", Working!$A:$A)))) + 1))</f>
        <v/>
      </c>
      <c r="G193" t="str" cm="1">
        <f t="array" ref="G193">IF(Working!$A193="","",INDEX(Working!$A$2:INDEX(Working!$A:$A, MATCH("zzz", Working!$A:$A)), MOD(ROW()-ROW(G$2)+G$1, COUNTA(Working!$A$2:INDEX(Working!$A:$A, MATCH("zzz", Working!$A:$A)))) + 1))</f>
        <v/>
      </c>
      <c r="H193" t="str" cm="1">
        <f t="array" ref="H193">IF(Working!$A193="","",INDEX(Working!$A$2:INDEX(Working!$A:$A, MATCH("zzz", Working!$A:$A)), MOD(ROW()-ROW(H$2)+H$1, COUNTA(Working!$A$2:INDEX(Working!$A:$A, MATCH("zzz", Working!$A:$A)))) + 1))</f>
        <v/>
      </c>
      <c r="I193" t="str" cm="1">
        <f t="array" ref="I193">IF(Working!$A193="","",INDEX(Working!$A$2:INDEX(Working!$A:$A, MATCH("zzz", Working!$A:$A)), MOD(ROW()-ROW(I$2)+I$1, COUNTA(Working!$A$2:INDEX(Working!$A:$A, MATCH("zzz", Working!$A:$A)))) + 1))</f>
        <v/>
      </c>
      <c r="J193" t="str" cm="1">
        <f t="array" ref="J193">IF(Working!$A193="","",INDEX(Working!$A$2:INDEX(Working!$A:$A, MATCH("zzz", Working!$A:$A)), MOD(ROW()-ROW(J$2)+J$1, COUNTA(Working!$A$2:INDEX(Working!$A:$A, MATCH("zzz", Working!$A:$A)))) + 1))</f>
        <v/>
      </c>
      <c r="K193" t="str" cm="1">
        <f t="array" ref="K193">IF(Working!$A193="","",INDEX(Working!$A$2:INDEX(Working!$A:$A, MATCH("zzz", Working!$A:$A)), MOD(ROW()-ROW(K$2)+K$1, COUNTA(Working!$A$2:INDEX(Working!$A:$A, MATCH("zzz", Working!$A:$A)))) + 1))</f>
        <v/>
      </c>
      <c r="L193" t="str" cm="1">
        <f t="array" ref="L193">IF(Working!$A193="","",INDEX(Working!$A$2:INDEX(Working!$A:$A, MATCH("zzz", Working!$A:$A)), MOD(ROW()-ROW(L$2)+L$1, COUNTA(Working!$A$2:INDEX(Working!$A:$A, MATCH("zzz", Working!$A:$A)))) + 1))</f>
        <v/>
      </c>
    </row>
    <row r="194" spans="3:12" ht="15.75" customHeight="1" x14ac:dyDescent="0.2">
      <c r="C194" t="str" cm="1">
        <f t="array" ref="C194">IF(Working!$A194="","",INDEX(Working!$A$2:INDEX(Working!$A:$A, MATCH("zzz", Working!$A:$A)), MOD(ROW()-ROW(C$2)+C$1, COUNTA(Working!$A$2:INDEX(Working!$A:$A, MATCH("zzz", Working!$A:$A)))) + 1))</f>
        <v/>
      </c>
      <c r="D194" t="str" cm="1">
        <f t="array" ref="D194">IF(Working!$A194="","",INDEX(Working!$A$2:INDEX(Working!$A:$A, MATCH("zzz", Working!$A:$A)), MOD(ROW()-ROW(D$2)+D$1, COUNTA(Working!$A$2:INDEX(Working!$A:$A, MATCH("zzz", Working!$A:$A)))) + 1))</f>
        <v/>
      </c>
      <c r="E194" t="str" cm="1">
        <f t="array" ref="E194">IF(Working!$A194="","",INDEX(Working!$A$2:INDEX(Working!$A:$A, MATCH("zzz", Working!$A:$A)), MOD(ROW()-ROW(E$2)+E$1, COUNTA(Working!$A$2:INDEX(Working!$A:$A, MATCH("zzz", Working!$A:$A)))) + 1))</f>
        <v/>
      </c>
      <c r="F194" t="str" cm="1">
        <f t="array" ref="F194">IF(Working!$A194="","",INDEX(Working!$A$2:INDEX(Working!$A:$A, MATCH("zzz", Working!$A:$A)), MOD(ROW()-ROW(F$2)+F$1, COUNTA(Working!$A$2:INDEX(Working!$A:$A, MATCH("zzz", Working!$A:$A)))) + 1))</f>
        <v/>
      </c>
      <c r="G194" t="str" cm="1">
        <f t="array" ref="G194">IF(Working!$A194="","",INDEX(Working!$A$2:INDEX(Working!$A:$A, MATCH("zzz", Working!$A:$A)), MOD(ROW()-ROW(G$2)+G$1, COUNTA(Working!$A$2:INDEX(Working!$A:$A, MATCH("zzz", Working!$A:$A)))) + 1))</f>
        <v/>
      </c>
      <c r="H194" t="str" cm="1">
        <f t="array" ref="H194">IF(Working!$A194="","",INDEX(Working!$A$2:INDEX(Working!$A:$A, MATCH("zzz", Working!$A:$A)), MOD(ROW()-ROW(H$2)+H$1, COUNTA(Working!$A$2:INDEX(Working!$A:$A, MATCH("zzz", Working!$A:$A)))) + 1))</f>
        <v/>
      </c>
      <c r="I194" t="str" cm="1">
        <f t="array" ref="I194">IF(Working!$A194="","",INDEX(Working!$A$2:INDEX(Working!$A:$A, MATCH("zzz", Working!$A:$A)), MOD(ROW()-ROW(I$2)+I$1, COUNTA(Working!$A$2:INDEX(Working!$A:$A, MATCH("zzz", Working!$A:$A)))) + 1))</f>
        <v/>
      </c>
      <c r="J194" t="str" cm="1">
        <f t="array" ref="J194">IF(Working!$A194="","",INDEX(Working!$A$2:INDEX(Working!$A:$A, MATCH("zzz", Working!$A:$A)), MOD(ROW()-ROW(J$2)+J$1, COUNTA(Working!$A$2:INDEX(Working!$A:$A, MATCH("zzz", Working!$A:$A)))) + 1))</f>
        <v/>
      </c>
      <c r="K194" t="str" cm="1">
        <f t="array" ref="K194">IF(Working!$A194="","",INDEX(Working!$A$2:INDEX(Working!$A:$A, MATCH("zzz", Working!$A:$A)), MOD(ROW()-ROW(K$2)+K$1, COUNTA(Working!$A$2:INDEX(Working!$A:$A, MATCH("zzz", Working!$A:$A)))) + 1))</f>
        <v/>
      </c>
      <c r="L194" t="str" cm="1">
        <f t="array" ref="L194">IF(Working!$A194="","",INDEX(Working!$A$2:INDEX(Working!$A:$A, MATCH("zzz", Working!$A:$A)), MOD(ROW()-ROW(L$2)+L$1, COUNTA(Working!$A$2:INDEX(Working!$A:$A, MATCH("zzz", Working!$A:$A)))) + 1))</f>
        <v/>
      </c>
    </row>
    <row r="195" spans="3:12" ht="15.75" customHeight="1" x14ac:dyDescent="0.2">
      <c r="C195" t="str" cm="1">
        <f t="array" ref="C195">IF(Working!$A195="","",INDEX(Working!$A$2:INDEX(Working!$A:$A, MATCH("zzz", Working!$A:$A)), MOD(ROW()-ROW(C$2)+C$1, COUNTA(Working!$A$2:INDEX(Working!$A:$A, MATCH("zzz", Working!$A:$A)))) + 1))</f>
        <v/>
      </c>
      <c r="D195" t="str" cm="1">
        <f t="array" ref="D195">IF(Working!$A195="","",INDEX(Working!$A$2:INDEX(Working!$A:$A, MATCH("zzz", Working!$A:$A)), MOD(ROW()-ROW(D$2)+D$1, COUNTA(Working!$A$2:INDEX(Working!$A:$A, MATCH("zzz", Working!$A:$A)))) + 1))</f>
        <v/>
      </c>
      <c r="E195" t="str" cm="1">
        <f t="array" ref="E195">IF(Working!$A195="","",INDEX(Working!$A$2:INDEX(Working!$A:$A, MATCH("zzz", Working!$A:$A)), MOD(ROW()-ROW(E$2)+E$1, COUNTA(Working!$A$2:INDEX(Working!$A:$A, MATCH("zzz", Working!$A:$A)))) + 1))</f>
        <v/>
      </c>
      <c r="F195" t="str" cm="1">
        <f t="array" ref="F195">IF(Working!$A195="","",INDEX(Working!$A$2:INDEX(Working!$A:$A, MATCH("zzz", Working!$A:$A)), MOD(ROW()-ROW(F$2)+F$1, COUNTA(Working!$A$2:INDEX(Working!$A:$A, MATCH("zzz", Working!$A:$A)))) + 1))</f>
        <v/>
      </c>
      <c r="G195" t="str" cm="1">
        <f t="array" ref="G195">IF(Working!$A195="","",INDEX(Working!$A$2:INDEX(Working!$A:$A, MATCH("zzz", Working!$A:$A)), MOD(ROW()-ROW(G$2)+G$1, COUNTA(Working!$A$2:INDEX(Working!$A:$A, MATCH("zzz", Working!$A:$A)))) + 1))</f>
        <v/>
      </c>
      <c r="H195" t="str" cm="1">
        <f t="array" ref="H195">IF(Working!$A195="","",INDEX(Working!$A$2:INDEX(Working!$A:$A, MATCH("zzz", Working!$A:$A)), MOD(ROW()-ROW(H$2)+H$1, COUNTA(Working!$A$2:INDEX(Working!$A:$A, MATCH("zzz", Working!$A:$A)))) + 1))</f>
        <v/>
      </c>
      <c r="I195" t="str" cm="1">
        <f t="array" ref="I195">IF(Working!$A195="","",INDEX(Working!$A$2:INDEX(Working!$A:$A, MATCH("zzz", Working!$A:$A)), MOD(ROW()-ROW(I$2)+I$1, COUNTA(Working!$A$2:INDEX(Working!$A:$A, MATCH("zzz", Working!$A:$A)))) + 1))</f>
        <v/>
      </c>
      <c r="J195" t="str" cm="1">
        <f t="array" ref="J195">IF(Working!$A195="","",INDEX(Working!$A$2:INDEX(Working!$A:$A, MATCH("zzz", Working!$A:$A)), MOD(ROW()-ROW(J$2)+J$1, COUNTA(Working!$A$2:INDEX(Working!$A:$A, MATCH("zzz", Working!$A:$A)))) + 1))</f>
        <v/>
      </c>
      <c r="K195" t="str" cm="1">
        <f t="array" ref="K195">IF(Working!$A195="","",INDEX(Working!$A$2:INDEX(Working!$A:$A, MATCH("zzz", Working!$A:$A)), MOD(ROW()-ROW(K$2)+K$1, COUNTA(Working!$A$2:INDEX(Working!$A:$A, MATCH("zzz", Working!$A:$A)))) + 1))</f>
        <v/>
      </c>
      <c r="L195" t="str" cm="1">
        <f t="array" ref="L195">IF(Working!$A195="","",INDEX(Working!$A$2:INDEX(Working!$A:$A, MATCH("zzz", Working!$A:$A)), MOD(ROW()-ROW(L$2)+L$1, COUNTA(Working!$A$2:INDEX(Working!$A:$A, MATCH("zzz", Working!$A:$A)))) + 1))</f>
        <v/>
      </c>
    </row>
    <row r="196" spans="3:12" ht="15.75" customHeight="1" x14ac:dyDescent="0.2">
      <c r="C196" t="str" cm="1">
        <f t="array" ref="C196">IF(Working!$A196="","",INDEX(Working!$A$2:INDEX(Working!$A:$A, MATCH("zzz", Working!$A:$A)), MOD(ROW()-ROW(C$2)+C$1, COUNTA(Working!$A$2:INDEX(Working!$A:$A, MATCH("zzz", Working!$A:$A)))) + 1))</f>
        <v/>
      </c>
      <c r="D196" t="str" cm="1">
        <f t="array" ref="D196">IF(Working!$A196="","",INDEX(Working!$A$2:INDEX(Working!$A:$A, MATCH("zzz", Working!$A:$A)), MOD(ROW()-ROW(D$2)+D$1, COUNTA(Working!$A$2:INDEX(Working!$A:$A, MATCH("zzz", Working!$A:$A)))) + 1))</f>
        <v/>
      </c>
      <c r="E196" t="str" cm="1">
        <f t="array" ref="E196">IF(Working!$A196="","",INDEX(Working!$A$2:INDEX(Working!$A:$A, MATCH("zzz", Working!$A:$A)), MOD(ROW()-ROW(E$2)+E$1, COUNTA(Working!$A$2:INDEX(Working!$A:$A, MATCH("zzz", Working!$A:$A)))) + 1))</f>
        <v/>
      </c>
      <c r="F196" t="str" cm="1">
        <f t="array" ref="F196">IF(Working!$A196="","",INDEX(Working!$A$2:INDEX(Working!$A:$A, MATCH("zzz", Working!$A:$A)), MOD(ROW()-ROW(F$2)+F$1, COUNTA(Working!$A$2:INDEX(Working!$A:$A, MATCH("zzz", Working!$A:$A)))) + 1))</f>
        <v/>
      </c>
      <c r="G196" t="str" cm="1">
        <f t="array" ref="G196">IF(Working!$A196="","",INDEX(Working!$A$2:INDEX(Working!$A:$A, MATCH("zzz", Working!$A:$A)), MOD(ROW()-ROW(G$2)+G$1, COUNTA(Working!$A$2:INDEX(Working!$A:$A, MATCH("zzz", Working!$A:$A)))) + 1))</f>
        <v/>
      </c>
      <c r="H196" t="str" cm="1">
        <f t="array" ref="H196">IF(Working!$A196="","",INDEX(Working!$A$2:INDEX(Working!$A:$A, MATCH("zzz", Working!$A:$A)), MOD(ROW()-ROW(H$2)+H$1, COUNTA(Working!$A$2:INDEX(Working!$A:$A, MATCH("zzz", Working!$A:$A)))) + 1))</f>
        <v/>
      </c>
      <c r="I196" t="str" cm="1">
        <f t="array" ref="I196">IF(Working!$A196="","",INDEX(Working!$A$2:INDEX(Working!$A:$A, MATCH("zzz", Working!$A:$A)), MOD(ROW()-ROW(I$2)+I$1, COUNTA(Working!$A$2:INDEX(Working!$A:$A, MATCH("zzz", Working!$A:$A)))) + 1))</f>
        <v/>
      </c>
      <c r="J196" t="str" cm="1">
        <f t="array" ref="J196">IF(Working!$A196="","",INDEX(Working!$A$2:INDEX(Working!$A:$A, MATCH("zzz", Working!$A:$A)), MOD(ROW()-ROW(J$2)+J$1, COUNTA(Working!$A$2:INDEX(Working!$A:$A, MATCH("zzz", Working!$A:$A)))) + 1))</f>
        <v/>
      </c>
      <c r="K196" t="str" cm="1">
        <f t="array" ref="K196">IF(Working!$A196="","",INDEX(Working!$A$2:INDEX(Working!$A:$A, MATCH("zzz", Working!$A:$A)), MOD(ROW()-ROW(K$2)+K$1, COUNTA(Working!$A$2:INDEX(Working!$A:$A, MATCH("zzz", Working!$A:$A)))) + 1))</f>
        <v/>
      </c>
      <c r="L196" t="str" cm="1">
        <f t="array" ref="L196">IF(Working!$A196="","",INDEX(Working!$A$2:INDEX(Working!$A:$A, MATCH("zzz", Working!$A:$A)), MOD(ROW()-ROW(L$2)+L$1, COUNTA(Working!$A$2:INDEX(Working!$A:$A, MATCH("zzz", Working!$A:$A)))) + 1))</f>
        <v/>
      </c>
    </row>
    <row r="197" spans="3:12" ht="15.75" customHeight="1" x14ac:dyDescent="0.2">
      <c r="C197" t="str" cm="1">
        <f t="array" ref="C197">IF(Working!$A197="","",INDEX(Working!$A$2:INDEX(Working!$A:$A, MATCH("zzz", Working!$A:$A)), MOD(ROW()-ROW(C$2)+C$1, COUNTA(Working!$A$2:INDEX(Working!$A:$A, MATCH("zzz", Working!$A:$A)))) + 1))</f>
        <v/>
      </c>
      <c r="D197" t="str" cm="1">
        <f t="array" ref="D197">IF(Working!$A197="","",INDEX(Working!$A$2:INDEX(Working!$A:$A, MATCH("zzz", Working!$A:$A)), MOD(ROW()-ROW(D$2)+D$1, COUNTA(Working!$A$2:INDEX(Working!$A:$A, MATCH("zzz", Working!$A:$A)))) + 1))</f>
        <v/>
      </c>
      <c r="E197" t="str" cm="1">
        <f t="array" ref="E197">IF(Working!$A197="","",INDEX(Working!$A$2:INDEX(Working!$A:$A, MATCH("zzz", Working!$A:$A)), MOD(ROW()-ROW(E$2)+E$1, COUNTA(Working!$A$2:INDEX(Working!$A:$A, MATCH("zzz", Working!$A:$A)))) + 1))</f>
        <v/>
      </c>
      <c r="F197" t="str" cm="1">
        <f t="array" ref="F197">IF(Working!$A197="","",INDEX(Working!$A$2:INDEX(Working!$A:$A, MATCH("zzz", Working!$A:$A)), MOD(ROW()-ROW(F$2)+F$1, COUNTA(Working!$A$2:INDEX(Working!$A:$A, MATCH("zzz", Working!$A:$A)))) + 1))</f>
        <v/>
      </c>
      <c r="G197" t="str" cm="1">
        <f t="array" ref="G197">IF(Working!$A197="","",INDEX(Working!$A$2:INDEX(Working!$A:$A, MATCH("zzz", Working!$A:$A)), MOD(ROW()-ROW(G$2)+G$1, COUNTA(Working!$A$2:INDEX(Working!$A:$A, MATCH("zzz", Working!$A:$A)))) + 1))</f>
        <v/>
      </c>
      <c r="H197" t="str" cm="1">
        <f t="array" ref="H197">IF(Working!$A197="","",INDEX(Working!$A$2:INDEX(Working!$A:$A, MATCH("zzz", Working!$A:$A)), MOD(ROW()-ROW(H$2)+H$1, COUNTA(Working!$A$2:INDEX(Working!$A:$A, MATCH("zzz", Working!$A:$A)))) + 1))</f>
        <v/>
      </c>
      <c r="I197" t="str" cm="1">
        <f t="array" ref="I197">IF(Working!$A197="","",INDEX(Working!$A$2:INDEX(Working!$A:$A, MATCH("zzz", Working!$A:$A)), MOD(ROW()-ROW(I$2)+I$1, COUNTA(Working!$A$2:INDEX(Working!$A:$A, MATCH("zzz", Working!$A:$A)))) + 1))</f>
        <v/>
      </c>
      <c r="J197" t="str" cm="1">
        <f t="array" ref="J197">IF(Working!$A197="","",INDEX(Working!$A$2:INDEX(Working!$A:$A, MATCH("zzz", Working!$A:$A)), MOD(ROW()-ROW(J$2)+J$1, COUNTA(Working!$A$2:INDEX(Working!$A:$A, MATCH("zzz", Working!$A:$A)))) + 1))</f>
        <v/>
      </c>
      <c r="K197" t="str" cm="1">
        <f t="array" ref="K197">IF(Working!$A197="","",INDEX(Working!$A$2:INDEX(Working!$A:$A, MATCH("zzz", Working!$A:$A)), MOD(ROW()-ROW(K$2)+K$1, COUNTA(Working!$A$2:INDEX(Working!$A:$A, MATCH("zzz", Working!$A:$A)))) + 1))</f>
        <v/>
      </c>
      <c r="L197" t="str" cm="1">
        <f t="array" ref="L197">IF(Working!$A197="","",INDEX(Working!$A$2:INDEX(Working!$A:$A, MATCH("zzz", Working!$A:$A)), MOD(ROW()-ROW(L$2)+L$1, COUNTA(Working!$A$2:INDEX(Working!$A:$A, MATCH("zzz", Working!$A:$A)))) + 1))</f>
        <v/>
      </c>
    </row>
    <row r="198" spans="3:12" ht="15.75" customHeight="1" x14ac:dyDescent="0.2">
      <c r="C198" t="str" cm="1">
        <f t="array" ref="C198">IF(Working!$A198="","",INDEX(Working!$A$2:INDEX(Working!$A:$A, MATCH("zzz", Working!$A:$A)), MOD(ROW()-ROW(C$2)+C$1, COUNTA(Working!$A$2:INDEX(Working!$A:$A, MATCH("zzz", Working!$A:$A)))) + 1))</f>
        <v/>
      </c>
      <c r="D198" t="str" cm="1">
        <f t="array" ref="D198">IF(Working!$A198="","",INDEX(Working!$A$2:INDEX(Working!$A:$A, MATCH("zzz", Working!$A:$A)), MOD(ROW()-ROW(D$2)+D$1, COUNTA(Working!$A$2:INDEX(Working!$A:$A, MATCH("zzz", Working!$A:$A)))) + 1))</f>
        <v/>
      </c>
      <c r="E198" t="str" cm="1">
        <f t="array" ref="E198">IF(Working!$A198="","",INDEX(Working!$A$2:INDEX(Working!$A:$A, MATCH("zzz", Working!$A:$A)), MOD(ROW()-ROW(E$2)+E$1, COUNTA(Working!$A$2:INDEX(Working!$A:$A, MATCH("zzz", Working!$A:$A)))) + 1))</f>
        <v/>
      </c>
      <c r="F198" t="str" cm="1">
        <f t="array" ref="F198">IF(Working!$A198="","",INDEX(Working!$A$2:INDEX(Working!$A:$A, MATCH("zzz", Working!$A:$A)), MOD(ROW()-ROW(F$2)+F$1, COUNTA(Working!$A$2:INDEX(Working!$A:$A, MATCH("zzz", Working!$A:$A)))) + 1))</f>
        <v/>
      </c>
      <c r="G198" t="str" cm="1">
        <f t="array" ref="G198">IF(Working!$A198="","",INDEX(Working!$A$2:INDEX(Working!$A:$A, MATCH("zzz", Working!$A:$A)), MOD(ROW()-ROW(G$2)+G$1, COUNTA(Working!$A$2:INDEX(Working!$A:$A, MATCH("zzz", Working!$A:$A)))) + 1))</f>
        <v/>
      </c>
      <c r="H198" t="str" cm="1">
        <f t="array" ref="H198">IF(Working!$A198="","",INDEX(Working!$A$2:INDEX(Working!$A:$A, MATCH("zzz", Working!$A:$A)), MOD(ROW()-ROW(H$2)+H$1, COUNTA(Working!$A$2:INDEX(Working!$A:$A, MATCH("zzz", Working!$A:$A)))) + 1))</f>
        <v/>
      </c>
      <c r="I198" t="str" cm="1">
        <f t="array" ref="I198">IF(Working!$A198="","",INDEX(Working!$A$2:INDEX(Working!$A:$A, MATCH("zzz", Working!$A:$A)), MOD(ROW()-ROW(I$2)+I$1, COUNTA(Working!$A$2:INDEX(Working!$A:$A, MATCH("zzz", Working!$A:$A)))) + 1))</f>
        <v/>
      </c>
      <c r="J198" t="str" cm="1">
        <f t="array" ref="J198">IF(Working!$A198="","",INDEX(Working!$A$2:INDEX(Working!$A:$A, MATCH("zzz", Working!$A:$A)), MOD(ROW()-ROW(J$2)+J$1, COUNTA(Working!$A$2:INDEX(Working!$A:$A, MATCH("zzz", Working!$A:$A)))) + 1))</f>
        <v/>
      </c>
      <c r="K198" t="str" cm="1">
        <f t="array" ref="K198">IF(Working!$A198="","",INDEX(Working!$A$2:INDEX(Working!$A:$A, MATCH("zzz", Working!$A:$A)), MOD(ROW()-ROW(K$2)+K$1, COUNTA(Working!$A$2:INDEX(Working!$A:$A, MATCH("zzz", Working!$A:$A)))) + 1))</f>
        <v/>
      </c>
      <c r="L198" t="str" cm="1">
        <f t="array" ref="L198">IF(Working!$A198="","",INDEX(Working!$A$2:INDEX(Working!$A:$A, MATCH("zzz", Working!$A:$A)), MOD(ROW()-ROW(L$2)+L$1, COUNTA(Working!$A$2:INDEX(Working!$A:$A, MATCH("zzz", Working!$A:$A)))) + 1))</f>
        <v/>
      </c>
    </row>
    <row r="199" spans="3:12" ht="15.75" customHeight="1" x14ac:dyDescent="0.2">
      <c r="C199" t="str" cm="1">
        <f t="array" ref="C199">IF(Working!$A199="","",INDEX(Working!$A$2:INDEX(Working!$A:$A, MATCH("zzz", Working!$A:$A)), MOD(ROW()-ROW(C$2)+C$1, COUNTA(Working!$A$2:INDEX(Working!$A:$A, MATCH("zzz", Working!$A:$A)))) + 1))</f>
        <v/>
      </c>
      <c r="D199" t="str" cm="1">
        <f t="array" ref="D199">IF(Working!$A199="","",INDEX(Working!$A$2:INDEX(Working!$A:$A, MATCH("zzz", Working!$A:$A)), MOD(ROW()-ROW(D$2)+D$1, COUNTA(Working!$A$2:INDEX(Working!$A:$A, MATCH("zzz", Working!$A:$A)))) + 1))</f>
        <v/>
      </c>
      <c r="E199" t="str" cm="1">
        <f t="array" ref="E199">IF(Working!$A199="","",INDEX(Working!$A$2:INDEX(Working!$A:$A, MATCH("zzz", Working!$A:$A)), MOD(ROW()-ROW(E$2)+E$1, COUNTA(Working!$A$2:INDEX(Working!$A:$A, MATCH("zzz", Working!$A:$A)))) + 1))</f>
        <v/>
      </c>
      <c r="F199" t="str" cm="1">
        <f t="array" ref="F199">IF(Working!$A199="","",INDEX(Working!$A$2:INDEX(Working!$A:$A, MATCH("zzz", Working!$A:$A)), MOD(ROW()-ROW(F$2)+F$1, COUNTA(Working!$A$2:INDEX(Working!$A:$A, MATCH("zzz", Working!$A:$A)))) + 1))</f>
        <v/>
      </c>
      <c r="G199" t="str" cm="1">
        <f t="array" ref="G199">IF(Working!$A199="","",INDEX(Working!$A$2:INDEX(Working!$A:$A, MATCH("zzz", Working!$A:$A)), MOD(ROW()-ROW(G$2)+G$1, COUNTA(Working!$A$2:INDEX(Working!$A:$A, MATCH("zzz", Working!$A:$A)))) + 1))</f>
        <v/>
      </c>
      <c r="H199" t="str" cm="1">
        <f t="array" ref="H199">IF(Working!$A199="","",INDEX(Working!$A$2:INDEX(Working!$A:$A, MATCH("zzz", Working!$A:$A)), MOD(ROW()-ROW(H$2)+H$1, COUNTA(Working!$A$2:INDEX(Working!$A:$A, MATCH("zzz", Working!$A:$A)))) + 1))</f>
        <v/>
      </c>
      <c r="I199" t="str" cm="1">
        <f t="array" ref="I199">IF(Working!$A199="","",INDEX(Working!$A$2:INDEX(Working!$A:$A, MATCH("zzz", Working!$A:$A)), MOD(ROW()-ROW(I$2)+I$1, COUNTA(Working!$A$2:INDEX(Working!$A:$A, MATCH("zzz", Working!$A:$A)))) + 1))</f>
        <v/>
      </c>
      <c r="J199" t="str" cm="1">
        <f t="array" ref="J199">IF(Working!$A199="","",INDEX(Working!$A$2:INDEX(Working!$A:$A, MATCH("zzz", Working!$A:$A)), MOD(ROW()-ROW(J$2)+J$1, COUNTA(Working!$A$2:INDEX(Working!$A:$A, MATCH("zzz", Working!$A:$A)))) + 1))</f>
        <v/>
      </c>
      <c r="K199" t="str" cm="1">
        <f t="array" ref="K199">IF(Working!$A199="","",INDEX(Working!$A$2:INDEX(Working!$A:$A, MATCH("zzz", Working!$A:$A)), MOD(ROW()-ROW(K$2)+K$1, COUNTA(Working!$A$2:INDEX(Working!$A:$A, MATCH("zzz", Working!$A:$A)))) + 1))</f>
        <v/>
      </c>
      <c r="L199" t="str" cm="1">
        <f t="array" ref="L199">IF(Working!$A199="","",INDEX(Working!$A$2:INDEX(Working!$A:$A, MATCH("zzz", Working!$A:$A)), MOD(ROW()-ROW(L$2)+L$1, COUNTA(Working!$A$2:INDEX(Working!$A:$A, MATCH("zzz", Working!$A:$A)))) + 1))</f>
        <v/>
      </c>
    </row>
    <row r="200" spans="3:12" ht="15.75" customHeight="1" x14ac:dyDescent="0.2">
      <c r="C200" t="str" cm="1">
        <f t="array" ref="C200">IF(Working!$A200="","",INDEX(Working!$A$2:INDEX(Working!$A:$A, MATCH("zzz", Working!$A:$A)), MOD(ROW()-ROW(C$2)+C$1, COUNTA(Working!$A$2:INDEX(Working!$A:$A, MATCH("zzz", Working!$A:$A)))) + 1))</f>
        <v/>
      </c>
      <c r="D200" t="str" cm="1">
        <f t="array" ref="D200">IF(Working!$A200="","",INDEX(Working!$A$2:INDEX(Working!$A:$A, MATCH("zzz", Working!$A:$A)), MOD(ROW()-ROW(D$2)+D$1, COUNTA(Working!$A$2:INDEX(Working!$A:$A, MATCH("zzz", Working!$A:$A)))) + 1))</f>
        <v/>
      </c>
      <c r="E200" t="str" cm="1">
        <f t="array" ref="E200">IF(Working!$A200="","",INDEX(Working!$A$2:INDEX(Working!$A:$A, MATCH("zzz", Working!$A:$A)), MOD(ROW()-ROW(E$2)+E$1, COUNTA(Working!$A$2:INDEX(Working!$A:$A, MATCH("zzz", Working!$A:$A)))) + 1))</f>
        <v/>
      </c>
      <c r="F200" t="str" cm="1">
        <f t="array" ref="F200">IF(Working!$A200="","",INDEX(Working!$A$2:INDEX(Working!$A:$A, MATCH("zzz", Working!$A:$A)), MOD(ROW()-ROW(F$2)+F$1, COUNTA(Working!$A$2:INDEX(Working!$A:$A, MATCH("zzz", Working!$A:$A)))) + 1))</f>
        <v/>
      </c>
      <c r="G200" t="str" cm="1">
        <f t="array" ref="G200">IF(Working!$A200="","",INDEX(Working!$A$2:INDEX(Working!$A:$A, MATCH("zzz", Working!$A:$A)), MOD(ROW()-ROW(G$2)+G$1, COUNTA(Working!$A$2:INDEX(Working!$A:$A, MATCH("zzz", Working!$A:$A)))) + 1))</f>
        <v/>
      </c>
      <c r="H200" t="str" cm="1">
        <f t="array" ref="H200">IF(Working!$A200="","",INDEX(Working!$A$2:INDEX(Working!$A:$A, MATCH("zzz", Working!$A:$A)), MOD(ROW()-ROW(H$2)+H$1, COUNTA(Working!$A$2:INDEX(Working!$A:$A, MATCH("zzz", Working!$A:$A)))) + 1))</f>
        <v/>
      </c>
      <c r="I200" t="str" cm="1">
        <f t="array" ref="I200">IF(Working!$A200="","",INDEX(Working!$A$2:INDEX(Working!$A:$A, MATCH("zzz", Working!$A:$A)), MOD(ROW()-ROW(I$2)+I$1, COUNTA(Working!$A$2:INDEX(Working!$A:$A, MATCH("zzz", Working!$A:$A)))) + 1))</f>
        <v/>
      </c>
      <c r="J200" t="str" cm="1">
        <f t="array" ref="J200">IF(Working!$A200="","",INDEX(Working!$A$2:INDEX(Working!$A:$A, MATCH("zzz", Working!$A:$A)), MOD(ROW()-ROW(J$2)+J$1, COUNTA(Working!$A$2:INDEX(Working!$A:$A, MATCH("zzz", Working!$A:$A)))) + 1))</f>
        <v/>
      </c>
      <c r="K200" t="str" cm="1">
        <f t="array" ref="K200">IF(Working!$A200="","",INDEX(Working!$A$2:INDEX(Working!$A:$A, MATCH("zzz", Working!$A:$A)), MOD(ROW()-ROW(K$2)+K$1, COUNTA(Working!$A$2:INDEX(Working!$A:$A, MATCH("zzz", Working!$A:$A)))) + 1))</f>
        <v/>
      </c>
      <c r="L200" t="str" cm="1">
        <f t="array" ref="L200">IF(Working!$A200="","",INDEX(Working!$A$2:INDEX(Working!$A:$A, MATCH("zzz", Working!$A:$A)), MOD(ROW()-ROW(L$2)+L$1, COUNTA(Working!$A$2:INDEX(Working!$A:$A, MATCH("zzz", Working!$A:$A)))) + 1))</f>
        <v/>
      </c>
    </row>
    <row r="201" spans="3:12" ht="15.75" customHeight="1" x14ac:dyDescent="0.2">
      <c r="C201" t="str" cm="1">
        <f t="array" ref="C201">IF(Working!$A201="","",INDEX(Working!$A$2:INDEX(Working!$A:$A, MATCH("zzz", Working!$A:$A)), MOD(ROW()-ROW(C$2)+C$1, COUNTA(Working!$A$2:INDEX(Working!$A:$A, MATCH("zzz", Working!$A:$A)))) + 1))</f>
        <v/>
      </c>
      <c r="D201" t="str" cm="1">
        <f t="array" ref="D201">IF(Working!$A201="","",INDEX(Working!$A$2:INDEX(Working!$A:$A, MATCH("zzz", Working!$A:$A)), MOD(ROW()-ROW(D$2)+D$1, COUNTA(Working!$A$2:INDEX(Working!$A:$A, MATCH("zzz", Working!$A:$A)))) + 1))</f>
        <v/>
      </c>
      <c r="E201" t="str" cm="1">
        <f t="array" ref="E201">IF(Working!$A201="","",INDEX(Working!$A$2:INDEX(Working!$A:$A, MATCH("zzz", Working!$A:$A)), MOD(ROW()-ROW(E$2)+E$1, COUNTA(Working!$A$2:INDEX(Working!$A:$A, MATCH("zzz", Working!$A:$A)))) + 1))</f>
        <v/>
      </c>
      <c r="F201" t="str" cm="1">
        <f t="array" ref="F201">IF(Working!$A201="","",INDEX(Working!$A$2:INDEX(Working!$A:$A, MATCH("zzz", Working!$A:$A)), MOD(ROW()-ROW(F$2)+F$1, COUNTA(Working!$A$2:INDEX(Working!$A:$A, MATCH("zzz", Working!$A:$A)))) + 1))</f>
        <v/>
      </c>
      <c r="G201" t="str" cm="1">
        <f t="array" ref="G201">IF(Working!$A201="","",INDEX(Working!$A$2:INDEX(Working!$A:$A, MATCH("zzz", Working!$A:$A)), MOD(ROW()-ROW(G$2)+G$1, COUNTA(Working!$A$2:INDEX(Working!$A:$A, MATCH("zzz", Working!$A:$A)))) + 1))</f>
        <v/>
      </c>
      <c r="H201" t="str" cm="1">
        <f t="array" ref="H201">IF(Working!$A201="","",INDEX(Working!$A$2:INDEX(Working!$A:$A, MATCH("zzz", Working!$A:$A)), MOD(ROW()-ROW(H$2)+H$1, COUNTA(Working!$A$2:INDEX(Working!$A:$A, MATCH("zzz", Working!$A:$A)))) + 1))</f>
        <v/>
      </c>
      <c r="I201" t="str" cm="1">
        <f t="array" ref="I201">IF(Working!$A201="","",INDEX(Working!$A$2:INDEX(Working!$A:$A, MATCH("zzz", Working!$A:$A)), MOD(ROW()-ROW(I$2)+I$1, COUNTA(Working!$A$2:INDEX(Working!$A:$A, MATCH("zzz", Working!$A:$A)))) + 1))</f>
        <v/>
      </c>
      <c r="J201" t="str" cm="1">
        <f t="array" ref="J201">IF(Working!$A201="","",INDEX(Working!$A$2:INDEX(Working!$A:$A, MATCH("zzz", Working!$A:$A)), MOD(ROW()-ROW(J$2)+J$1, COUNTA(Working!$A$2:INDEX(Working!$A:$A, MATCH("zzz", Working!$A:$A)))) + 1))</f>
        <v/>
      </c>
      <c r="K201" t="str" cm="1">
        <f t="array" ref="K201">IF(Working!$A201="","",INDEX(Working!$A$2:INDEX(Working!$A:$A, MATCH("zzz", Working!$A:$A)), MOD(ROW()-ROW(K$2)+K$1, COUNTA(Working!$A$2:INDEX(Working!$A:$A, MATCH("zzz", Working!$A:$A)))) + 1))</f>
        <v/>
      </c>
      <c r="L201" t="str" cm="1">
        <f t="array" ref="L201">IF(Working!$A201="","",INDEX(Working!$A$2:INDEX(Working!$A:$A, MATCH("zzz", Working!$A:$A)), MOD(ROW()-ROW(L$2)+L$1, COUNTA(Working!$A$2:INDEX(Working!$A:$A, MATCH("zzz", Working!$A:$A)))) + 1))</f>
        <v/>
      </c>
    </row>
    <row r="202" spans="3:12" ht="15.75" customHeight="1" x14ac:dyDescent="0.2">
      <c r="C202" t="str" cm="1">
        <f t="array" ref="C202">IF(Working!$A202="","",INDEX(Working!$A$2:INDEX(Working!$A:$A, MATCH("zzz", Working!$A:$A)), MOD(ROW()-ROW(C$2)+C$1, COUNTA(Working!$A$2:INDEX(Working!$A:$A, MATCH("zzz", Working!$A:$A)))) + 1))</f>
        <v/>
      </c>
      <c r="D202" t="str" cm="1">
        <f t="array" ref="D202">IF(Working!$A202="","",INDEX(Working!$A$2:INDEX(Working!$A:$A, MATCH("zzz", Working!$A:$A)), MOD(ROW()-ROW(D$2)+D$1, COUNTA(Working!$A$2:INDEX(Working!$A:$A, MATCH("zzz", Working!$A:$A)))) + 1))</f>
        <v/>
      </c>
      <c r="E202" t="str" cm="1">
        <f t="array" ref="E202">IF(Working!$A202="","",INDEX(Working!$A$2:INDEX(Working!$A:$A, MATCH("zzz", Working!$A:$A)), MOD(ROW()-ROW(E$2)+E$1, COUNTA(Working!$A$2:INDEX(Working!$A:$A, MATCH("zzz", Working!$A:$A)))) + 1))</f>
        <v/>
      </c>
      <c r="F202" t="str" cm="1">
        <f t="array" ref="F202">IF(Working!$A202="","",INDEX(Working!$A$2:INDEX(Working!$A:$A, MATCH("zzz", Working!$A:$A)), MOD(ROW()-ROW(F$2)+F$1, COUNTA(Working!$A$2:INDEX(Working!$A:$A, MATCH("zzz", Working!$A:$A)))) + 1))</f>
        <v/>
      </c>
      <c r="G202" t="str" cm="1">
        <f t="array" ref="G202">IF(Working!$A202="","",INDEX(Working!$A$2:INDEX(Working!$A:$A, MATCH("zzz", Working!$A:$A)), MOD(ROW()-ROW(G$2)+G$1, COUNTA(Working!$A$2:INDEX(Working!$A:$A, MATCH("zzz", Working!$A:$A)))) + 1))</f>
        <v/>
      </c>
      <c r="H202" t="str" cm="1">
        <f t="array" ref="H202">IF(Working!$A202="","",INDEX(Working!$A$2:INDEX(Working!$A:$A, MATCH("zzz", Working!$A:$A)), MOD(ROW()-ROW(H$2)+H$1, COUNTA(Working!$A$2:INDEX(Working!$A:$A, MATCH("zzz", Working!$A:$A)))) + 1))</f>
        <v/>
      </c>
      <c r="I202" t="str" cm="1">
        <f t="array" ref="I202">IF(Working!$A202="","",INDEX(Working!$A$2:INDEX(Working!$A:$A, MATCH("zzz", Working!$A:$A)), MOD(ROW()-ROW(I$2)+I$1, COUNTA(Working!$A$2:INDEX(Working!$A:$A, MATCH("zzz", Working!$A:$A)))) + 1))</f>
        <v/>
      </c>
      <c r="J202" t="str" cm="1">
        <f t="array" ref="J202">IF(Working!$A202="","",INDEX(Working!$A$2:INDEX(Working!$A:$A, MATCH("zzz", Working!$A:$A)), MOD(ROW()-ROW(J$2)+J$1, COUNTA(Working!$A$2:INDEX(Working!$A:$A, MATCH("zzz", Working!$A:$A)))) + 1))</f>
        <v/>
      </c>
      <c r="K202" t="str" cm="1">
        <f t="array" ref="K202">IF(Working!$A202="","",INDEX(Working!$A$2:INDEX(Working!$A:$A, MATCH("zzz", Working!$A:$A)), MOD(ROW()-ROW(K$2)+K$1, COUNTA(Working!$A$2:INDEX(Working!$A:$A, MATCH("zzz", Working!$A:$A)))) + 1))</f>
        <v/>
      </c>
      <c r="L202" t="str" cm="1">
        <f t="array" ref="L202">IF(Working!$A202="","",INDEX(Working!$A$2:INDEX(Working!$A:$A, MATCH("zzz", Working!$A:$A)), MOD(ROW()-ROW(L$2)+L$1, COUNTA(Working!$A$2:INDEX(Working!$A:$A, MATCH("zzz", Working!$A:$A)))) + 1))</f>
        <v/>
      </c>
    </row>
    <row r="203" spans="3:12" ht="15.75" customHeight="1" x14ac:dyDescent="0.2">
      <c r="C203" t="str" cm="1">
        <f t="array" ref="C203">IF(Working!$A203="","",INDEX(Working!$A$2:INDEX(Working!$A:$A, MATCH("zzz", Working!$A:$A)), MOD(ROW()-ROW(C$2)+C$1, COUNTA(Working!$A$2:INDEX(Working!$A:$A, MATCH("zzz", Working!$A:$A)))) + 1))</f>
        <v/>
      </c>
      <c r="D203" t="str" cm="1">
        <f t="array" ref="D203">IF(Working!$A203="","",INDEX(Working!$A$2:INDEX(Working!$A:$A, MATCH("zzz", Working!$A:$A)), MOD(ROW()-ROW(D$2)+D$1, COUNTA(Working!$A$2:INDEX(Working!$A:$A, MATCH("zzz", Working!$A:$A)))) + 1))</f>
        <v/>
      </c>
      <c r="E203" t="str" cm="1">
        <f t="array" ref="E203">IF(Working!$A203="","",INDEX(Working!$A$2:INDEX(Working!$A:$A, MATCH("zzz", Working!$A:$A)), MOD(ROW()-ROW(E$2)+E$1, COUNTA(Working!$A$2:INDEX(Working!$A:$A, MATCH("zzz", Working!$A:$A)))) + 1))</f>
        <v/>
      </c>
      <c r="F203" t="str" cm="1">
        <f t="array" ref="F203">IF(Working!$A203="","",INDEX(Working!$A$2:INDEX(Working!$A:$A, MATCH("zzz", Working!$A:$A)), MOD(ROW()-ROW(F$2)+F$1, COUNTA(Working!$A$2:INDEX(Working!$A:$A, MATCH("zzz", Working!$A:$A)))) + 1))</f>
        <v/>
      </c>
      <c r="G203" t="str" cm="1">
        <f t="array" ref="G203">IF(Working!$A203="","",INDEX(Working!$A$2:INDEX(Working!$A:$A, MATCH("zzz", Working!$A:$A)), MOD(ROW()-ROW(G$2)+G$1, COUNTA(Working!$A$2:INDEX(Working!$A:$A, MATCH("zzz", Working!$A:$A)))) + 1))</f>
        <v/>
      </c>
      <c r="H203" t="str" cm="1">
        <f t="array" ref="H203">IF(Working!$A203="","",INDEX(Working!$A$2:INDEX(Working!$A:$A, MATCH("zzz", Working!$A:$A)), MOD(ROW()-ROW(H$2)+H$1, COUNTA(Working!$A$2:INDEX(Working!$A:$A, MATCH("zzz", Working!$A:$A)))) + 1))</f>
        <v/>
      </c>
      <c r="I203" t="str" cm="1">
        <f t="array" ref="I203">IF(Working!$A203="","",INDEX(Working!$A$2:INDEX(Working!$A:$A, MATCH("zzz", Working!$A:$A)), MOD(ROW()-ROW(I$2)+I$1, COUNTA(Working!$A$2:INDEX(Working!$A:$A, MATCH("zzz", Working!$A:$A)))) + 1))</f>
        <v/>
      </c>
      <c r="J203" t="str" cm="1">
        <f t="array" ref="J203">IF(Working!$A203="","",INDEX(Working!$A$2:INDEX(Working!$A:$A, MATCH("zzz", Working!$A:$A)), MOD(ROW()-ROW(J$2)+J$1, COUNTA(Working!$A$2:INDEX(Working!$A:$A, MATCH("zzz", Working!$A:$A)))) + 1))</f>
        <v/>
      </c>
      <c r="K203" t="str" cm="1">
        <f t="array" ref="K203">IF(Working!$A203="","",INDEX(Working!$A$2:INDEX(Working!$A:$A, MATCH("zzz", Working!$A:$A)), MOD(ROW()-ROW(K$2)+K$1, COUNTA(Working!$A$2:INDEX(Working!$A:$A, MATCH("zzz", Working!$A:$A)))) + 1))</f>
        <v/>
      </c>
      <c r="L203" t="str" cm="1">
        <f t="array" ref="L203">IF(Working!$A203="","",INDEX(Working!$A$2:INDEX(Working!$A:$A, MATCH("zzz", Working!$A:$A)), MOD(ROW()-ROW(L$2)+L$1, COUNTA(Working!$A$2:INDEX(Working!$A:$A, MATCH("zzz", Working!$A:$A)))) + 1))</f>
        <v/>
      </c>
    </row>
    <row r="204" spans="3:12" ht="15.75" customHeight="1" x14ac:dyDescent="0.2">
      <c r="C204" t="str" cm="1">
        <f t="array" ref="C204">IF(Working!$A204="","",INDEX(Working!$A$2:INDEX(Working!$A:$A, MATCH("zzz", Working!$A:$A)), MOD(ROW()-ROW(C$2)+C$1, COUNTA(Working!$A$2:INDEX(Working!$A:$A, MATCH("zzz", Working!$A:$A)))) + 1))</f>
        <v/>
      </c>
      <c r="D204" t="str" cm="1">
        <f t="array" ref="D204">IF(Working!$A204="","",INDEX(Working!$A$2:INDEX(Working!$A:$A, MATCH("zzz", Working!$A:$A)), MOD(ROW()-ROW(D$2)+D$1, COUNTA(Working!$A$2:INDEX(Working!$A:$A, MATCH("zzz", Working!$A:$A)))) + 1))</f>
        <v/>
      </c>
      <c r="E204" t="str" cm="1">
        <f t="array" ref="E204">IF(Working!$A204="","",INDEX(Working!$A$2:INDEX(Working!$A:$A, MATCH("zzz", Working!$A:$A)), MOD(ROW()-ROW(E$2)+E$1, COUNTA(Working!$A$2:INDEX(Working!$A:$A, MATCH("zzz", Working!$A:$A)))) + 1))</f>
        <v/>
      </c>
      <c r="F204" t="str" cm="1">
        <f t="array" ref="F204">IF(Working!$A204="","",INDEX(Working!$A$2:INDEX(Working!$A:$A, MATCH("zzz", Working!$A:$A)), MOD(ROW()-ROW(F$2)+F$1, COUNTA(Working!$A$2:INDEX(Working!$A:$A, MATCH("zzz", Working!$A:$A)))) + 1))</f>
        <v/>
      </c>
      <c r="G204" t="str" cm="1">
        <f t="array" ref="G204">IF(Working!$A204="","",INDEX(Working!$A$2:INDEX(Working!$A:$A, MATCH("zzz", Working!$A:$A)), MOD(ROW()-ROW(G$2)+G$1, COUNTA(Working!$A$2:INDEX(Working!$A:$A, MATCH("zzz", Working!$A:$A)))) + 1))</f>
        <v/>
      </c>
      <c r="H204" t="str" cm="1">
        <f t="array" ref="H204">IF(Working!$A204="","",INDEX(Working!$A$2:INDEX(Working!$A:$A, MATCH("zzz", Working!$A:$A)), MOD(ROW()-ROW(H$2)+H$1, COUNTA(Working!$A$2:INDEX(Working!$A:$A, MATCH("zzz", Working!$A:$A)))) + 1))</f>
        <v/>
      </c>
      <c r="I204" t="str" cm="1">
        <f t="array" ref="I204">IF(Working!$A204="","",INDEX(Working!$A$2:INDEX(Working!$A:$A, MATCH("zzz", Working!$A:$A)), MOD(ROW()-ROW(I$2)+I$1, COUNTA(Working!$A$2:INDEX(Working!$A:$A, MATCH("zzz", Working!$A:$A)))) + 1))</f>
        <v/>
      </c>
      <c r="J204" t="str" cm="1">
        <f t="array" ref="J204">IF(Working!$A204="","",INDEX(Working!$A$2:INDEX(Working!$A:$A, MATCH("zzz", Working!$A:$A)), MOD(ROW()-ROW(J$2)+J$1, COUNTA(Working!$A$2:INDEX(Working!$A:$A, MATCH("zzz", Working!$A:$A)))) + 1))</f>
        <v/>
      </c>
      <c r="K204" t="str" cm="1">
        <f t="array" ref="K204">IF(Working!$A204="","",INDEX(Working!$A$2:INDEX(Working!$A:$A, MATCH("zzz", Working!$A:$A)), MOD(ROW()-ROW(K$2)+K$1, COUNTA(Working!$A$2:INDEX(Working!$A:$A, MATCH("zzz", Working!$A:$A)))) + 1))</f>
        <v/>
      </c>
      <c r="L204" t="str" cm="1">
        <f t="array" ref="L204">IF(Working!$A204="","",INDEX(Working!$A$2:INDEX(Working!$A:$A, MATCH("zzz", Working!$A:$A)), MOD(ROW()-ROW(L$2)+L$1, COUNTA(Working!$A$2:INDEX(Working!$A:$A, MATCH("zzz", Working!$A:$A)))) + 1))</f>
        <v/>
      </c>
    </row>
    <row r="205" spans="3:12" ht="15.75" customHeight="1" x14ac:dyDescent="0.2">
      <c r="C205" t="str" cm="1">
        <f t="array" ref="C205">IF(Working!$A205="","",INDEX(Working!$A$2:INDEX(Working!$A:$A, MATCH("zzz", Working!$A:$A)), MOD(ROW()-ROW(C$2)+C$1, COUNTA(Working!$A$2:INDEX(Working!$A:$A, MATCH("zzz", Working!$A:$A)))) + 1))</f>
        <v/>
      </c>
      <c r="D205" t="str" cm="1">
        <f t="array" ref="D205">IF(Working!$A205="","",INDEX(Working!$A$2:INDEX(Working!$A:$A, MATCH("zzz", Working!$A:$A)), MOD(ROW()-ROW(D$2)+D$1, COUNTA(Working!$A$2:INDEX(Working!$A:$A, MATCH("zzz", Working!$A:$A)))) + 1))</f>
        <v/>
      </c>
      <c r="E205" t="str" cm="1">
        <f t="array" ref="E205">IF(Working!$A205="","",INDEX(Working!$A$2:INDEX(Working!$A:$A, MATCH("zzz", Working!$A:$A)), MOD(ROW()-ROW(E$2)+E$1, COUNTA(Working!$A$2:INDEX(Working!$A:$A, MATCH("zzz", Working!$A:$A)))) + 1))</f>
        <v/>
      </c>
      <c r="F205" t="str" cm="1">
        <f t="array" ref="F205">IF(Working!$A205="","",INDEX(Working!$A$2:INDEX(Working!$A:$A, MATCH("zzz", Working!$A:$A)), MOD(ROW()-ROW(F$2)+F$1, COUNTA(Working!$A$2:INDEX(Working!$A:$A, MATCH("zzz", Working!$A:$A)))) + 1))</f>
        <v/>
      </c>
      <c r="G205" t="str" cm="1">
        <f t="array" ref="G205">IF(Working!$A205="","",INDEX(Working!$A$2:INDEX(Working!$A:$A, MATCH("zzz", Working!$A:$A)), MOD(ROW()-ROW(G$2)+G$1, COUNTA(Working!$A$2:INDEX(Working!$A:$A, MATCH("zzz", Working!$A:$A)))) + 1))</f>
        <v/>
      </c>
      <c r="H205" t="str" cm="1">
        <f t="array" ref="H205">IF(Working!$A205="","",INDEX(Working!$A$2:INDEX(Working!$A:$A, MATCH("zzz", Working!$A:$A)), MOD(ROW()-ROW(H$2)+H$1, COUNTA(Working!$A$2:INDEX(Working!$A:$A, MATCH("zzz", Working!$A:$A)))) + 1))</f>
        <v/>
      </c>
      <c r="I205" t="str" cm="1">
        <f t="array" ref="I205">IF(Working!$A205="","",INDEX(Working!$A$2:INDEX(Working!$A:$A, MATCH("zzz", Working!$A:$A)), MOD(ROW()-ROW(I$2)+I$1, COUNTA(Working!$A$2:INDEX(Working!$A:$A, MATCH("zzz", Working!$A:$A)))) + 1))</f>
        <v/>
      </c>
      <c r="J205" t="str" cm="1">
        <f t="array" ref="J205">IF(Working!$A205="","",INDEX(Working!$A$2:INDEX(Working!$A:$A, MATCH("zzz", Working!$A:$A)), MOD(ROW()-ROW(J$2)+J$1, COUNTA(Working!$A$2:INDEX(Working!$A:$A, MATCH("zzz", Working!$A:$A)))) + 1))</f>
        <v/>
      </c>
      <c r="K205" t="str" cm="1">
        <f t="array" ref="K205">IF(Working!$A205="","",INDEX(Working!$A$2:INDEX(Working!$A:$A, MATCH("zzz", Working!$A:$A)), MOD(ROW()-ROW(K$2)+K$1, COUNTA(Working!$A$2:INDEX(Working!$A:$A, MATCH("zzz", Working!$A:$A)))) + 1))</f>
        <v/>
      </c>
      <c r="L205" t="str" cm="1">
        <f t="array" ref="L205">IF(Working!$A205="","",INDEX(Working!$A$2:INDEX(Working!$A:$A, MATCH("zzz", Working!$A:$A)), MOD(ROW()-ROW(L$2)+L$1, COUNTA(Working!$A$2:INDEX(Working!$A:$A, MATCH("zzz", Working!$A:$A)))) + 1))</f>
        <v/>
      </c>
    </row>
    <row r="206" spans="3:12" ht="15.75" customHeight="1" x14ac:dyDescent="0.2">
      <c r="C206" t="str" cm="1">
        <f t="array" ref="C206">IF(Working!$A206="","",INDEX(Working!$A$2:INDEX(Working!$A:$A, MATCH("zzz", Working!$A:$A)), MOD(ROW()-ROW(C$2)+C$1, COUNTA(Working!$A$2:INDEX(Working!$A:$A, MATCH("zzz", Working!$A:$A)))) + 1))</f>
        <v/>
      </c>
      <c r="D206" t="str" cm="1">
        <f t="array" ref="D206">IF(Working!$A206="","",INDEX(Working!$A$2:INDEX(Working!$A:$A, MATCH("zzz", Working!$A:$A)), MOD(ROW()-ROW(D$2)+D$1, COUNTA(Working!$A$2:INDEX(Working!$A:$A, MATCH("zzz", Working!$A:$A)))) + 1))</f>
        <v/>
      </c>
      <c r="E206" t="str" cm="1">
        <f t="array" ref="E206">IF(Working!$A206="","",INDEX(Working!$A$2:INDEX(Working!$A:$A, MATCH("zzz", Working!$A:$A)), MOD(ROW()-ROW(E$2)+E$1, COUNTA(Working!$A$2:INDEX(Working!$A:$A, MATCH("zzz", Working!$A:$A)))) + 1))</f>
        <v/>
      </c>
      <c r="F206" t="str" cm="1">
        <f t="array" ref="F206">IF(Working!$A206="","",INDEX(Working!$A$2:INDEX(Working!$A:$A, MATCH("zzz", Working!$A:$A)), MOD(ROW()-ROW(F$2)+F$1, COUNTA(Working!$A$2:INDEX(Working!$A:$A, MATCH("zzz", Working!$A:$A)))) + 1))</f>
        <v/>
      </c>
      <c r="G206" t="str" cm="1">
        <f t="array" ref="G206">IF(Working!$A206="","",INDEX(Working!$A$2:INDEX(Working!$A:$A, MATCH("zzz", Working!$A:$A)), MOD(ROW()-ROW(G$2)+G$1, COUNTA(Working!$A$2:INDEX(Working!$A:$A, MATCH("zzz", Working!$A:$A)))) + 1))</f>
        <v/>
      </c>
      <c r="H206" t="str" cm="1">
        <f t="array" ref="H206">IF(Working!$A206="","",INDEX(Working!$A$2:INDEX(Working!$A:$A, MATCH("zzz", Working!$A:$A)), MOD(ROW()-ROW(H$2)+H$1, COUNTA(Working!$A$2:INDEX(Working!$A:$A, MATCH("zzz", Working!$A:$A)))) + 1))</f>
        <v/>
      </c>
      <c r="I206" t="str" cm="1">
        <f t="array" ref="I206">IF(Working!$A206="","",INDEX(Working!$A$2:INDEX(Working!$A:$A, MATCH("zzz", Working!$A:$A)), MOD(ROW()-ROW(I$2)+I$1, COUNTA(Working!$A$2:INDEX(Working!$A:$A, MATCH("zzz", Working!$A:$A)))) + 1))</f>
        <v/>
      </c>
      <c r="J206" t="str" cm="1">
        <f t="array" ref="J206">IF(Working!$A206="","",INDEX(Working!$A$2:INDEX(Working!$A:$A, MATCH("zzz", Working!$A:$A)), MOD(ROW()-ROW(J$2)+J$1, COUNTA(Working!$A$2:INDEX(Working!$A:$A, MATCH("zzz", Working!$A:$A)))) + 1))</f>
        <v/>
      </c>
      <c r="K206" t="str" cm="1">
        <f t="array" ref="K206">IF(Working!$A206="","",INDEX(Working!$A$2:INDEX(Working!$A:$A, MATCH("zzz", Working!$A:$A)), MOD(ROW()-ROW(K$2)+K$1, COUNTA(Working!$A$2:INDEX(Working!$A:$A, MATCH("zzz", Working!$A:$A)))) + 1))</f>
        <v/>
      </c>
      <c r="L206" t="str" cm="1">
        <f t="array" ref="L206">IF(Working!$A206="","",INDEX(Working!$A$2:INDEX(Working!$A:$A, MATCH("zzz", Working!$A:$A)), MOD(ROW()-ROW(L$2)+L$1, COUNTA(Working!$A$2:INDEX(Working!$A:$A, MATCH("zzz", Working!$A:$A)))) + 1))</f>
        <v/>
      </c>
    </row>
    <row r="207" spans="3:12" ht="15.75" customHeight="1" x14ac:dyDescent="0.2">
      <c r="C207" t="str" cm="1">
        <f t="array" ref="C207">IF(Working!$A207="","",INDEX(Working!$A$2:INDEX(Working!$A:$A, MATCH("zzz", Working!$A:$A)), MOD(ROW()-ROW(C$2)+C$1, COUNTA(Working!$A$2:INDEX(Working!$A:$A, MATCH("zzz", Working!$A:$A)))) + 1))</f>
        <v/>
      </c>
      <c r="D207" t="str" cm="1">
        <f t="array" ref="D207">IF(Working!$A207="","",INDEX(Working!$A$2:INDEX(Working!$A:$A, MATCH("zzz", Working!$A:$A)), MOD(ROW()-ROW(D$2)+D$1, COUNTA(Working!$A$2:INDEX(Working!$A:$A, MATCH("zzz", Working!$A:$A)))) + 1))</f>
        <v/>
      </c>
      <c r="E207" t="str" cm="1">
        <f t="array" ref="E207">IF(Working!$A207="","",INDEX(Working!$A$2:INDEX(Working!$A:$A, MATCH("zzz", Working!$A:$A)), MOD(ROW()-ROW(E$2)+E$1, COUNTA(Working!$A$2:INDEX(Working!$A:$A, MATCH("zzz", Working!$A:$A)))) + 1))</f>
        <v/>
      </c>
      <c r="F207" t="str" cm="1">
        <f t="array" ref="F207">IF(Working!$A207="","",INDEX(Working!$A$2:INDEX(Working!$A:$A, MATCH("zzz", Working!$A:$A)), MOD(ROW()-ROW(F$2)+F$1, COUNTA(Working!$A$2:INDEX(Working!$A:$A, MATCH("zzz", Working!$A:$A)))) + 1))</f>
        <v/>
      </c>
      <c r="G207" t="str" cm="1">
        <f t="array" ref="G207">IF(Working!$A207="","",INDEX(Working!$A$2:INDEX(Working!$A:$A, MATCH("zzz", Working!$A:$A)), MOD(ROW()-ROW(G$2)+G$1, COUNTA(Working!$A$2:INDEX(Working!$A:$A, MATCH("zzz", Working!$A:$A)))) + 1))</f>
        <v/>
      </c>
      <c r="H207" t="str" cm="1">
        <f t="array" ref="H207">IF(Working!$A207="","",INDEX(Working!$A$2:INDEX(Working!$A:$A, MATCH("zzz", Working!$A:$A)), MOD(ROW()-ROW(H$2)+H$1, COUNTA(Working!$A$2:INDEX(Working!$A:$A, MATCH("zzz", Working!$A:$A)))) + 1))</f>
        <v/>
      </c>
      <c r="I207" t="str" cm="1">
        <f t="array" ref="I207">IF(Working!$A207="","",INDEX(Working!$A$2:INDEX(Working!$A:$A, MATCH("zzz", Working!$A:$A)), MOD(ROW()-ROW(I$2)+I$1, COUNTA(Working!$A$2:INDEX(Working!$A:$A, MATCH("zzz", Working!$A:$A)))) + 1))</f>
        <v/>
      </c>
      <c r="J207" t="str" cm="1">
        <f t="array" ref="J207">IF(Working!$A207="","",INDEX(Working!$A$2:INDEX(Working!$A:$A, MATCH("zzz", Working!$A:$A)), MOD(ROW()-ROW(J$2)+J$1, COUNTA(Working!$A$2:INDEX(Working!$A:$A, MATCH("zzz", Working!$A:$A)))) + 1))</f>
        <v/>
      </c>
      <c r="K207" t="str" cm="1">
        <f t="array" ref="K207">IF(Working!$A207="","",INDEX(Working!$A$2:INDEX(Working!$A:$A, MATCH("zzz", Working!$A:$A)), MOD(ROW()-ROW(K$2)+K$1, COUNTA(Working!$A$2:INDEX(Working!$A:$A, MATCH("zzz", Working!$A:$A)))) + 1))</f>
        <v/>
      </c>
      <c r="L207" t="str" cm="1">
        <f t="array" ref="L207">IF(Working!$A207="","",INDEX(Working!$A$2:INDEX(Working!$A:$A, MATCH("zzz", Working!$A:$A)), MOD(ROW()-ROW(L$2)+L$1, COUNTA(Working!$A$2:INDEX(Working!$A:$A, MATCH("zzz", Working!$A:$A)))) + 1))</f>
        <v/>
      </c>
    </row>
    <row r="208" spans="3:12" ht="15.75" customHeight="1" x14ac:dyDescent="0.2">
      <c r="C208" t="str" cm="1">
        <f t="array" ref="C208">IF(Working!$A208="","",INDEX(Working!$A$2:INDEX(Working!$A:$A, MATCH("zzz", Working!$A:$A)), MOD(ROW()-ROW(C$2)+C$1, COUNTA(Working!$A$2:INDEX(Working!$A:$A, MATCH("zzz", Working!$A:$A)))) + 1))</f>
        <v/>
      </c>
      <c r="D208" t="str" cm="1">
        <f t="array" ref="D208">IF(Working!$A208="","",INDEX(Working!$A$2:INDEX(Working!$A:$A, MATCH("zzz", Working!$A:$A)), MOD(ROW()-ROW(D$2)+D$1, COUNTA(Working!$A$2:INDEX(Working!$A:$A, MATCH("zzz", Working!$A:$A)))) + 1))</f>
        <v/>
      </c>
      <c r="E208" t="str" cm="1">
        <f t="array" ref="E208">IF(Working!$A208="","",INDEX(Working!$A$2:INDEX(Working!$A:$A, MATCH("zzz", Working!$A:$A)), MOD(ROW()-ROW(E$2)+E$1, COUNTA(Working!$A$2:INDEX(Working!$A:$A, MATCH("zzz", Working!$A:$A)))) + 1))</f>
        <v/>
      </c>
      <c r="F208" t="str" cm="1">
        <f t="array" ref="F208">IF(Working!$A208="","",INDEX(Working!$A$2:INDEX(Working!$A:$A, MATCH("zzz", Working!$A:$A)), MOD(ROW()-ROW(F$2)+F$1, COUNTA(Working!$A$2:INDEX(Working!$A:$A, MATCH("zzz", Working!$A:$A)))) + 1))</f>
        <v/>
      </c>
      <c r="G208" t="str" cm="1">
        <f t="array" ref="G208">IF(Working!$A208="","",INDEX(Working!$A$2:INDEX(Working!$A:$A, MATCH("zzz", Working!$A:$A)), MOD(ROW()-ROW(G$2)+G$1, COUNTA(Working!$A$2:INDEX(Working!$A:$A, MATCH("zzz", Working!$A:$A)))) + 1))</f>
        <v/>
      </c>
      <c r="H208" t="str" cm="1">
        <f t="array" ref="H208">IF(Working!$A208="","",INDEX(Working!$A$2:INDEX(Working!$A:$A, MATCH("zzz", Working!$A:$A)), MOD(ROW()-ROW(H$2)+H$1, COUNTA(Working!$A$2:INDEX(Working!$A:$A, MATCH("zzz", Working!$A:$A)))) + 1))</f>
        <v/>
      </c>
      <c r="I208" t="str" cm="1">
        <f t="array" ref="I208">IF(Working!$A208="","",INDEX(Working!$A$2:INDEX(Working!$A:$A, MATCH("zzz", Working!$A:$A)), MOD(ROW()-ROW(I$2)+I$1, COUNTA(Working!$A$2:INDEX(Working!$A:$A, MATCH("zzz", Working!$A:$A)))) + 1))</f>
        <v/>
      </c>
      <c r="J208" t="str" cm="1">
        <f t="array" ref="J208">IF(Working!$A208="","",INDEX(Working!$A$2:INDEX(Working!$A:$A, MATCH("zzz", Working!$A:$A)), MOD(ROW()-ROW(J$2)+J$1, COUNTA(Working!$A$2:INDEX(Working!$A:$A, MATCH("zzz", Working!$A:$A)))) + 1))</f>
        <v/>
      </c>
      <c r="K208" t="str" cm="1">
        <f t="array" ref="K208">IF(Working!$A208="","",INDEX(Working!$A$2:INDEX(Working!$A:$A, MATCH("zzz", Working!$A:$A)), MOD(ROW()-ROW(K$2)+K$1, COUNTA(Working!$A$2:INDEX(Working!$A:$A, MATCH("zzz", Working!$A:$A)))) + 1))</f>
        <v/>
      </c>
      <c r="L208" t="str" cm="1">
        <f t="array" ref="L208">IF(Working!$A208="","",INDEX(Working!$A$2:INDEX(Working!$A:$A, MATCH("zzz", Working!$A:$A)), MOD(ROW()-ROW(L$2)+L$1, COUNTA(Working!$A$2:INDEX(Working!$A:$A, MATCH("zzz", Working!$A:$A)))) + 1))</f>
        <v/>
      </c>
    </row>
    <row r="209" spans="3:12" ht="15.75" customHeight="1" x14ac:dyDescent="0.2">
      <c r="C209" t="str" cm="1">
        <f t="array" ref="C209">IF(Working!$A209="","",INDEX(Working!$A$2:INDEX(Working!$A:$A, MATCH("zzz", Working!$A:$A)), MOD(ROW()-ROW(C$2)+C$1, COUNTA(Working!$A$2:INDEX(Working!$A:$A, MATCH("zzz", Working!$A:$A)))) + 1))</f>
        <v/>
      </c>
      <c r="D209" t="str" cm="1">
        <f t="array" ref="D209">IF(Working!$A209="","",INDEX(Working!$A$2:INDEX(Working!$A:$A, MATCH("zzz", Working!$A:$A)), MOD(ROW()-ROW(D$2)+D$1, COUNTA(Working!$A$2:INDEX(Working!$A:$A, MATCH("zzz", Working!$A:$A)))) + 1))</f>
        <v/>
      </c>
      <c r="E209" t="str" cm="1">
        <f t="array" ref="E209">IF(Working!$A209="","",INDEX(Working!$A$2:INDEX(Working!$A:$A, MATCH("zzz", Working!$A:$A)), MOD(ROW()-ROW(E$2)+E$1, COUNTA(Working!$A$2:INDEX(Working!$A:$A, MATCH("zzz", Working!$A:$A)))) + 1))</f>
        <v/>
      </c>
      <c r="F209" t="str" cm="1">
        <f t="array" ref="F209">IF(Working!$A209="","",INDEX(Working!$A$2:INDEX(Working!$A:$A, MATCH("zzz", Working!$A:$A)), MOD(ROW()-ROW(F$2)+F$1, COUNTA(Working!$A$2:INDEX(Working!$A:$A, MATCH("zzz", Working!$A:$A)))) + 1))</f>
        <v/>
      </c>
      <c r="G209" t="str" cm="1">
        <f t="array" ref="G209">IF(Working!$A209="","",INDEX(Working!$A$2:INDEX(Working!$A:$A, MATCH("zzz", Working!$A:$A)), MOD(ROW()-ROW(G$2)+G$1, COUNTA(Working!$A$2:INDEX(Working!$A:$A, MATCH("zzz", Working!$A:$A)))) + 1))</f>
        <v/>
      </c>
      <c r="H209" t="str" cm="1">
        <f t="array" ref="H209">IF(Working!$A209="","",INDEX(Working!$A$2:INDEX(Working!$A:$A, MATCH("zzz", Working!$A:$A)), MOD(ROW()-ROW(H$2)+H$1, COUNTA(Working!$A$2:INDEX(Working!$A:$A, MATCH("zzz", Working!$A:$A)))) + 1))</f>
        <v/>
      </c>
      <c r="I209" t="str" cm="1">
        <f t="array" ref="I209">IF(Working!$A209="","",INDEX(Working!$A$2:INDEX(Working!$A:$A, MATCH("zzz", Working!$A:$A)), MOD(ROW()-ROW(I$2)+I$1, COUNTA(Working!$A$2:INDEX(Working!$A:$A, MATCH("zzz", Working!$A:$A)))) + 1))</f>
        <v/>
      </c>
      <c r="J209" t="str" cm="1">
        <f t="array" ref="J209">IF(Working!$A209="","",INDEX(Working!$A$2:INDEX(Working!$A:$A, MATCH("zzz", Working!$A:$A)), MOD(ROW()-ROW(J$2)+J$1, COUNTA(Working!$A$2:INDEX(Working!$A:$A, MATCH("zzz", Working!$A:$A)))) + 1))</f>
        <v/>
      </c>
      <c r="K209" t="str" cm="1">
        <f t="array" ref="K209">IF(Working!$A209="","",INDEX(Working!$A$2:INDEX(Working!$A:$A, MATCH("zzz", Working!$A:$A)), MOD(ROW()-ROW(K$2)+K$1, COUNTA(Working!$A$2:INDEX(Working!$A:$A, MATCH("zzz", Working!$A:$A)))) + 1))</f>
        <v/>
      </c>
      <c r="L209" t="str" cm="1">
        <f t="array" ref="L209">IF(Working!$A209="","",INDEX(Working!$A$2:INDEX(Working!$A:$A, MATCH("zzz", Working!$A:$A)), MOD(ROW()-ROW(L$2)+L$1, COUNTA(Working!$A$2:INDEX(Working!$A:$A, MATCH("zzz", Working!$A:$A)))) + 1))</f>
        <v/>
      </c>
    </row>
    <row r="210" spans="3:12" ht="15.75" customHeight="1" x14ac:dyDescent="0.2">
      <c r="C210" t="str" cm="1">
        <f t="array" ref="C210">IF(Working!$A210="","",INDEX(Working!$A$2:INDEX(Working!$A:$A, MATCH("zzz", Working!$A:$A)), MOD(ROW()-ROW(C$2)+C$1, COUNTA(Working!$A$2:INDEX(Working!$A:$A, MATCH("zzz", Working!$A:$A)))) + 1))</f>
        <v/>
      </c>
      <c r="D210" t="str" cm="1">
        <f t="array" ref="D210">IF(Working!$A210="","",INDEX(Working!$A$2:INDEX(Working!$A:$A, MATCH("zzz", Working!$A:$A)), MOD(ROW()-ROW(D$2)+D$1, COUNTA(Working!$A$2:INDEX(Working!$A:$A, MATCH("zzz", Working!$A:$A)))) + 1))</f>
        <v/>
      </c>
      <c r="E210" t="str" cm="1">
        <f t="array" ref="E210">IF(Working!$A210="","",INDEX(Working!$A$2:INDEX(Working!$A:$A, MATCH("zzz", Working!$A:$A)), MOD(ROW()-ROW(E$2)+E$1, COUNTA(Working!$A$2:INDEX(Working!$A:$A, MATCH("zzz", Working!$A:$A)))) + 1))</f>
        <v/>
      </c>
      <c r="F210" t="str" cm="1">
        <f t="array" ref="F210">IF(Working!$A210="","",INDEX(Working!$A$2:INDEX(Working!$A:$A, MATCH("zzz", Working!$A:$A)), MOD(ROW()-ROW(F$2)+F$1, COUNTA(Working!$A$2:INDEX(Working!$A:$A, MATCH("zzz", Working!$A:$A)))) + 1))</f>
        <v/>
      </c>
      <c r="G210" t="str" cm="1">
        <f t="array" ref="G210">IF(Working!$A210="","",INDEX(Working!$A$2:INDEX(Working!$A:$A, MATCH("zzz", Working!$A:$A)), MOD(ROW()-ROW(G$2)+G$1, COUNTA(Working!$A$2:INDEX(Working!$A:$A, MATCH("zzz", Working!$A:$A)))) + 1))</f>
        <v/>
      </c>
      <c r="H210" t="str" cm="1">
        <f t="array" ref="H210">IF(Working!$A210="","",INDEX(Working!$A$2:INDEX(Working!$A:$A, MATCH("zzz", Working!$A:$A)), MOD(ROW()-ROW(H$2)+H$1, COUNTA(Working!$A$2:INDEX(Working!$A:$A, MATCH("zzz", Working!$A:$A)))) + 1))</f>
        <v/>
      </c>
      <c r="I210" t="str" cm="1">
        <f t="array" ref="I210">IF(Working!$A210="","",INDEX(Working!$A$2:INDEX(Working!$A:$A, MATCH("zzz", Working!$A:$A)), MOD(ROW()-ROW(I$2)+I$1, COUNTA(Working!$A$2:INDEX(Working!$A:$A, MATCH("zzz", Working!$A:$A)))) + 1))</f>
        <v/>
      </c>
      <c r="J210" t="str" cm="1">
        <f t="array" ref="J210">IF(Working!$A210="","",INDEX(Working!$A$2:INDEX(Working!$A:$A, MATCH("zzz", Working!$A:$A)), MOD(ROW()-ROW(J$2)+J$1, COUNTA(Working!$A$2:INDEX(Working!$A:$A, MATCH("zzz", Working!$A:$A)))) + 1))</f>
        <v/>
      </c>
      <c r="K210" t="str" cm="1">
        <f t="array" ref="K210">IF(Working!$A210="","",INDEX(Working!$A$2:INDEX(Working!$A:$A, MATCH("zzz", Working!$A:$A)), MOD(ROW()-ROW(K$2)+K$1, COUNTA(Working!$A$2:INDEX(Working!$A:$A, MATCH("zzz", Working!$A:$A)))) + 1))</f>
        <v/>
      </c>
      <c r="L210" t="str" cm="1">
        <f t="array" ref="L210">IF(Working!$A210="","",INDEX(Working!$A$2:INDEX(Working!$A:$A, MATCH("zzz", Working!$A:$A)), MOD(ROW()-ROW(L$2)+L$1, COUNTA(Working!$A$2:INDEX(Working!$A:$A, MATCH("zzz", Working!$A:$A)))) + 1))</f>
        <v/>
      </c>
    </row>
    <row r="211" spans="3:12" ht="15.75" customHeight="1" x14ac:dyDescent="0.2">
      <c r="C211" t="str" cm="1">
        <f t="array" ref="C211">IF(Working!$A211="","",INDEX(Working!$A$2:INDEX(Working!$A:$A, MATCH("zzz", Working!$A:$A)), MOD(ROW()-ROW(C$2)+C$1, COUNTA(Working!$A$2:INDEX(Working!$A:$A, MATCH("zzz", Working!$A:$A)))) + 1))</f>
        <v/>
      </c>
      <c r="D211" t="str" cm="1">
        <f t="array" ref="D211">IF(Working!$A211="","",INDEX(Working!$A$2:INDEX(Working!$A:$A, MATCH("zzz", Working!$A:$A)), MOD(ROW()-ROW(D$2)+D$1, COUNTA(Working!$A$2:INDEX(Working!$A:$A, MATCH("zzz", Working!$A:$A)))) + 1))</f>
        <v/>
      </c>
      <c r="E211" t="str" cm="1">
        <f t="array" ref="E211">IF(Working!$A211="","",INDEX(Working!$A$2:INDEX(Working!$A:$A, MATCH("zzz", Working!$A:$A)), MOD(ROW()-ROW(E$2)+E$1, COUNTA(Working!$A$2:INDEX(Working!$A:$A, MATCH("zzz", Working!$A:$A)))) + 1))</f>
        <v/>
      </c>
      <c r="F211" t="str" cm="1">
        <f t="array" ref="F211">IF(Working!$A211="","",INDEX(Working!$A$2:INDEX(Working!$A:$A, MATCH("zzz", Working!$A:$A)), MOD(ROW()-ROW(F$2)+F$1, COUNTA(Working!$A$2:INDEX(Working!$A:$A, MATCH("zzz", Working!$A:$A)))) + 1))</f>
        <v/>
      </c>
      <c r="G211" t="str" cm="1">
        <f t="array" ref="G211">IF(Working!$A211="","",INDEX(Working!$A$2:INDEX(Working!$A:$A, MATCH("zzz", Working!$A:$A)), MOD(ROW()-ROW(G$2)+G$1, COUNTA(Working!$A$2:INDEX(Working!$A:$A, MATCH("zzz", Working!$A:$A)))) + 1))</f>
        <v/>
      </c>
      <c r="H211" t="str" cm="1">
        <f t="array" ref="H211">IF(Working!$A211="","",INDEX(Working!$A$2:INDEX(Working!$A:$A, MATCH("zzz", Working!$A:$A)), MOD(ROW()-ROW(H$2)+H$1, COUNTA(Working!$A$2:INDEX(Working!$A:$A, MATCH("zzz", Working!$A:$A)))) + 1))</f>
        <v/>
      </c>
      <c r="I211" t="str" cm="1">
        <f t="array" ref="I211">IF(Working!$A211="","",INDEX(Working!$A$2:INDEX(Working!$A:$A, MATCH("zzz", Working!$A:$A)), MOD(ROW()-ROW(I$2)+I$1, COUNTA(Working!$A$2:INDEX(Working!$A:$A, MATCH("zzz", Working!$A:$A)))) + 1))</f>
        <v/>
      </c>
      <c r="J211" t="str" cm="1">
        <f t="array" ref="J211">IF(Working!$A211="","",INDEX(Working!$A$2:INDEX(Working!$A:$A, MATCH("zzz", Working!$A:$A)), MOD(ROW()-ROW(J$2)+J$1, COUNTA(Working!$A$2:INDEX(Working!$A:$A, MATCH("zzz", Working!$A:$A)))) + 1))</f>
        <v/>
      </c>
      <c r="K211" t="str" cm="1">
        <f t="array" ref="K211">IF(Working!$A211="","",INDEX(Working!$A$2:INDEX(Working!$A:$A, MATCH("zzz", Working!$A:$A)), MOD(ROW()-ROW(K$2)+K$1, COUNTA(Working!$A$2:INDEX(Working!$A:$A, MATCH("zzz", Working!$A:$A)))) + 1))</f>
        <v/>
      </c>
      <c r="L211" t="str" cm="1">
        <f t="array" ref="L211">IF(Working!$A211="","",INDEX(Working!$A$2:INDEX(Working!$A:$A, MATCH("zzz", Working!$A:$A)), MOD(ROW()-ROW(L$2)+L$1, COUNTA(Working!$A$2:INDEX(Working!$A:$A, MATCH("zzz", Working!$A:$A)))) + 1))</f>
        <v/>
      </c>
    </row>
    <row r="212" spans="3:12" ht="15.75" customHeight="1" x14ac:dyDescent="0.2">
      <c r="C212" t="str" cm="1">
        <f t="array" ref="C212">IF(Working!$A212="","",INDEX(Working!$A$2:INDEX(Working!$A:$A, MATCH("zzz", Working!$A:$A)), MOD(ROW()-ROW(C$2)+C$1, COUNTA(Working!$A$2:INDEX(Working!$A:$A, MATCH("zzz", Working!$A:$A)))) + 1))</f>
        <v/>
      </c>
      <c r="D212" t="str" cm="1">
        <f t="array" ref="D212">IF(Working!$A212="","",INDEX(Working!$A$2:INDEX(Working!$A:$A, MATCH("zzz", Working!$A:$A)), MOD(ROW()-ROW(D$2)+D$1, COUNTA(Working!$A$2:INDEX(Working!$A:$A, MATCH("zzz", Working!$A:$A)))) + 1))</f>
        <v/>
      </c>
      <c r="E212" t="str" cm="1">
        <f t="array" ref="E212">IF(Working!$A212="","",INDEX(Working!$A$2:INDEX(Working!$A:$A, MATCH("zzz", Working!$A:$A)), MOD(ROW()-ROW(E$2)+E$1, COUNTA(Working!$A$2:INDEX(Working!$A:$A, MATCH("zzz", Working!$A:$A)))) + 1))</f>
        <v/>
      </c>
      <c r="F212" t="str" cm="1">
        <f t="array" ref="F212">IF(Working!$A212="","",INDEX(Working!$A$2:INDEX(Working!$A:$A, MATCH("zzz", Working!$A:$A)), MOD(ROW()-ROW(F$2)+F$1, COUNTA(Working!$A$2:INDEX(Working!$A:$A, MATCH("zzz", Working!$A:$A)))) + 1))</f>
        <v/>
      </c>
      <c r="G212" t="str" cm="1">
        <f t="array" ref="G212">IF(Working!$A212="","",INDEX(Working!$A$2:INDEX(Working!$A:$A, MATCH("zzz", Working!$A:$A)), MOD(ROW()-ROW(G$2)+G$1, COUNTA(Working!$A$2:INDEX(Working!$A:$A, MATCH("zzz", Working!$A:$A)))) + 1))</f>
        <v/>
      </c>
      <c r="H212" t="str" cm="1">
        <f t="array" ref="H212">IF(Working!$A212="","",INDEX(Working!$A$2:INDEX(Working!$A:$A, MATCH("zzz", Working!$A:$A)), MOD(ROW()-ROW(H$2)+H$1, COUNTA(Working!$A$2:INDEX(Working!$A:$A, MATCH("zzz", Working!$A:$A)))) + 1))</f>
        <v/>
      </c>
      <c r="I212" t="str" cm="1">
        <f t="array" ref="I212">IF(Working!$A212="","",INDEX(Working!$A$2:INDEX(Working!$A:$A, MATCH("zzz", Working!$A:$A)), MOD(ROW()-ROW(I$2)+I$1, COUNTA(Working!$A$2:INDEX(Working!$A:$A, MATCH("zzz", Working!$A:$A)))) + 1))</f>
        <v/>
      </c>
      <c r="J212" t="str" cm="1">
        <f t="array" ref="J212">IF(Working!$A212="","",INDEX(Working!$A$2:INDEX(Working!$A:$A, MATCH("zzz", Working!$A:$A)), MOD(ROW()-ROW(J$2)+J$1, COUNTA(Working!$A$2:INDEX(Working!$A:$A, MATCH("zzz", Working!$A:$A)))) + 1))</f>
        <v/>
      </c>
      <c r="K212" t="str" cm="1">
        <f t="array" ref="K212">IF(Working!$A212="","",INDEX(Working!$A$2:INDEX(Working!$A:$A, MATCH("zzz", Working!$A:$A)), MOD(ROW()-ROW(K$2)+K$1, COUNTA(Working!$A$2:INDEX(Working!$A:$A, MATCH("zzz", Working!$A:$A)))) + 1))</f>
        <v/>
      </c>
      <c r="L212" t="str" cm="1">
        <f t="array" ref="L212">IF(Working!$A212="","",INDEX(Working!$A$2:INDEX(Working!$A:$A, MATCH("zzz", Working!$A:$A)), MOD(ROW()-ROW(L$2)+L$1, COUNTA(Working!$A$2:INDEX(Working!$A:$A, MATCH("zzz", Working!$A:$A)))) + 1))</f>
        <v/>
      </c>
    </row>
    <row r="213" spans="3:12" ht="15.75" customHeight="1" x14ac:dyDescent="0.2">
      <c r="C213" t="str" cm="1">
        <f t="array" ref="C213">IF(Working!$A213="","",INDEX(Working!$A$2:INDEX(Working!$A:$A, MATCH("zzz", Working!$A:$A)), MOD(ROW()-ROW(C$2)+C$1, COUNTA(Working!$A$2:INDEX(Working!$A:$A, MATCH("zzz", Working!$A:$A)))) + 1))</f>
        <v/>
      </c>
      <c r="D213" t="str" cm="1">
        <f t="array" ref="D213">IF(Working!$A213="","",INDEX(Working!$A$2:INDEX(Working!$A:$A, MATCH("zzz", Working!$A:$A)), MOD(ROW()-ROW(D$2)+D$1, COUNTA(Working!$A$2:INDEX(Working!$A:$A, MATCH("zzz", Working!$A:$A)))) + 1))</f>
        <v/>
      </c>
      <c r="E213" t="str" cm="1">
        <f t="array" ref="E213">IF(Working!$A213="","",INDEX(Working!$A$2:INDEX(Working!$A:$A, MATCH("zzz", Working!$A:$A)), MOD(ROW()-ROW(E$2)+E$1, COUNTA(Working!$A$2:INDEX(Working!$A:$A, MATCH("zzz", Working!$A:$A)))) + 1))</f>
        <v/>
      </c>
      <c r="F213" t="str" cm="1">
        <f t="array" ref="F213">IF(Working!$A213="","",INDEX(Working!$A$2:INDEX(Working!$A:$A, MATCH("zzz", Working!$A:$A)), MOD(ROW()-ROW(F$2)+F$1, COUNTA(Working!$A$2:INDEX(Working!$A:$A, MATCH("zzz", Working!$A:$A)))) + 1))</f>
        <v/>
      </c>
      <c r="G213" t="str" cm="1">
        <f t="array" ref="G213">IF(Working!$A213="","",INDEX(Working!$A$2:INDEX(Working!$A:$A, MATCH("zzz", Working!$A:$A)), MOD(ROW()-ROW(G$2)+G$1, COUNTA(Working!$A$2:INDEX(Working!$A:$A, MATCH("zzz", Working!$A:$A)))) + 1))</f>
        <v/>
      </c>
      <c r="H213" t="str" cm="1">
        <f t="array" ref="H213">IF(Working!$A213="","",INDEX(Working!$A$2:INDEX(Working!$A:$A, MATCH("zzz", Working!$A:$A)), MOD(ROW()-ROW(H$2)+H$1, COUNTA(Working!$A$2:INDEX(Working!$A:$A, MATCH("zzz", Working!$A:$A)))) + 1))</f>
        <v/>
      </c>
      <c r="I213" t="str" cm="1">
        <f t="array" ref="I213">IF(Working!$A213="","",INDEX(Working!$A$2:INDEX(Working!$A:$A, MATCH("zzz", Working!$A:$A)), MOD(ROW()-ROW(I$2)+I$1, COUNTA(Working!$A$2:INDEX(Working!$A:$A, MATCH("zzz", Working!$A:$A)))) + 1))</f>
        <v/>
      </c>
      <c r="J213" t="str" cm="1">
        <f t="array" ref="J213">IF(Working!$A213="","",INDEX(Working!$A$2:INDEX(Working!$A:$A, MATCH("zzz", Working!$A:$A)), MOD(ROW()-ROW(J$2)+J$1, COUNTA(Working!$A$2:INDEX(Working!$A:$A, MATCH("zzz", Working!$A:$A)))) + 1))</f>
        <v/>
      </c>
      <c r="K213" t="str" cm="1">
        <f t="array" ref="K213">IF(Working!$A213="","",INDEX(Working!$A$2:INDEX(Working!$A:$A, MATCH("zzz", Working!$A:$A)), MOD(ROW()-ROW(K$2)+K$1, COUNTA(Working!$A$2:INDEX(Working!$A:$A, MATCH("zzz", Working!$A:$A)))) + 1))</f>
        <v/>
      </c>
      <c r="L213" t="str" cm="1">
        <f t="array" ref="L213">IF(Working!$A213="","",INDEX(Working!$A$2:INDEX(Working!$A:$A, MATCH("zzz", Working!$A:$A)), MOD(ROW()-ROW(L$2)+L$1, COUNTA(Working!$A$2:INDEX(Working!$A:$A, MATCH("zzz", Working!$A:$A)))) + 1))</f>
        <v/>
      </c>
    </row>
    <row r="214" spans="3:12" ht="15.75" customHeight="1" x14ac:dyDescent="0.2">
      <c r="C214" t="str" cm="1">
        <f t="array" ref="C214">IF(Working!$A214="","",INDEX(Working!$A$2:INDEX(Working!$A:$A, MATCH("zzz", Working!$A:$A)), MOD(ROW()-ROW(C$2)+C$1, COUNTA(Working!$A$2:INDEX(Working!$A:$A, MATCH("zzz", Working!$A:$A)))) + 1))</f>
        <v/>
      </c>
      <c r="D214" t="str" cm="1">
        <f t="array" ref="D214">IF(Working!$A214="","",INDEX(Working!$A$2:INDEX(Working!$A:$A, MATCH("zzz", Working!$A:$A)), MOD(ROW()-ROW(D$2)+D$1, COUNTA(Working!$A$2:INDEX(Working!$A:$A, MATCH("zzz", Working!$A:$A)))) + 1))</f>
        <v/>
      </c>
      <c r="E214" t="str" cm="1">
        <f t="array" ref="E214">IF(Working!$A214="","",INDEX(Working!$A$2:INDEX(Working!$A:$A, MATCH("zzz", Working!$A:$A)), MOD(ROW()-ROW(E$2)+E$1, COUNTA(Working!$A$2:INDEX(Working!$A:$A, MATCH("zzz", Working!$A:$A)))) + 1))</f>
        <v/>
      </c>
      <c r="F214" t="str" cm="1">
        <f t="array" ref="F214">IF(Working!$A214="","",INDEX(Working!$A$2:INDEX(Working!$A:$A, MATCH("zzz", Working!$A:$A)), MOD(ROW()-ROW(F$2)+F$1, COUNTA(Working!$A$2:INDEX(Working!$A:$A, MATCH("zzz", Working!$A:$A)))) + 1))</f>
        <v/>
      </c>
      <c r="G214" t="str" cm="1">
        <f t="array" ref="G214">IF(Working!$A214="","",INDEX(Working!$A$2:INDEX(Working!$A:$A, MATCH("zzz", Working!$A:$A)), MOD(ROW()-ROW(G$2)+G$1, COUNTA(Working!$A$2:INDEX(Working!$A:$A, MATCH("zzz", Working!$A:$A)))) + 1))</f>
        <v/>
      </c>
      <c r="H214" t="str" cm="1">
        <f t="array" ref="H214">IF(Working!$A214="","",INDEX(Working!$A$2:INDEX(Working!$A:$A, MATCH("zzz", Working!$A:$A)), MOD(ROW()-ROW(H$2)+H$1, COUNTA(Working!$A$2:INDEX(Working!$A:$A, MATCH("zzz", Working!$A:$A)))) + 1))</f>
        <v/>
      </c>
      <c r="I214" t="str" cm="1">
        <f t="array" ref="I214">IF(Working!$A214="","",INDEX(Working!$A$2:INDEX(Working!$A:$A, MATCH("zzz", Working!$A:$A)), MOD(ROW()-ROW(I$2)+I$1, COUNTA(Working!$A$2:INDEX(Working!$A:$A, MATCH("zzz", Working!$A:$A)))) + 1))</f>
        <v/>
      </c>
      <c r="J214" t="str" cm="1">
        <f t="array" ref="J214">IF(Working!$A214="","",INDEX(Working!$A$2:INDEX(Working!$A:$A, MATCH("zzz", Working!$A:$A)), MOD(ROW()-ROW(J$2)+J$1, COUNTA(Working!$A$2:INDEX(Working!$A:$A, MATCH("zzz", Working!$A:$A)))) + 1))</f>
        <v/>
      </c>
      <c r="K214" t="str" cm="1">
        <f t="array" ref="K214">IF(Working!$A214="","",INDEX(Working!$A$2:INDEX(Working!$A:$A, MATCH("zzz", Working!$A:$A)), MOD(ROW()-ROW(K$2)+K$1, COUNTA(Working!$A$2:INDEX(Working!$A:$A, MATCH("zzz", Working!$A:$A)))) + 1))</f>
        <v/>
      </c>
      <c r="L214" t="str" cm="1">
        <f t="array" ref="L214">IF(Working!$A214="","",INDEX(Working!$A$2:INDEX(Working!$A:$A, MATCH("zzz", Working!$A:$A)), MOD(ROW()-ROW(L$2)+L$1, COUNTA(Working!$A$2:INDEX(Working!$A:$A, MATCH("zzz", Working!$A:$A)))) + 1))</f>
        <v/>
      </c>
    </row>
    <row r="215" spans="3:12" ht="15.75" customHeight="1" x14ac:dyDescent="0.2">
      <c r="C215" t="str" cm="1">
        <f t="array" ref="C215">IF(Working!$A215="","",INDEX(Working!$A$2:INDEX(Working!$A:$A, MATCH("zzz", Working!$A:$A)), MOD(ROW()-ROW(C$2)+C$1, COUNTA(Working!$A$2:INDEX(Working!$A:$A, MATCH("zzz", Working!$A:$A)))) + 1))</f>
        <v/>
      </c>
      <c r="D215" t="str" cm="1">
        <f t="array" ref="D215">IF(Working!$A215="","",INDEX(Working!$A$2:INDEX(Working!$A:$A, MATCH("zzz", Working!$A:$A)), MOD(ROW()-ROW(D$2)+D$1, COUNTA(Working!$A$2:INDEX(Working!$A:$A, MATCH("zzz", Working!$A:$A)))) + 1))</f>
        <v/>
      </c>
      <c r="E215" t="str" cm="1">
        <f t="array" ref="E215">IF(Working!$A215="","",INDEX(Working!$A$2:INDEX(Working!$A:$A, MATCH("zzz", Working!$A:$A)), MOD(ROW()-ROW(E$2)+E$1, COUNTA(Working!$A$2:INDEX(Working!$A:$A, MATCH("zzz", Working!$A:$A)))) + 1))</f>
        <v/>
      </c>
      <c r="F215" t="str" cm="1">
        <f t="array" ref="F215">IF(Working!$A215="","",INDEX(Working!$A$2:INDEX(Working!$A:$A, MATCH("zzz", Working!$A:$A)), MOD(ROW()-ROW(F$2)+F$1, COUNTA(Working!$A$2:INDEX(Working!$A:$A, MATCH("zzz", Working!$A:$A)))) + 1))</f>
        <v/>
      </c>
      <c r="G215" t="str" cm="1">
        <f t="array" ref="G215">IF(Working!$A215="","",INDEX(Working!$A$2:INDEX(Working!$A:$A, MATCH("zzz", Working!$A:$A)), MOD(ROW()-ROW(G$2)+G$1, COUNTA(Working!$A$2:INDEX(Working!$A:$A, MATCH("zzz", Working!$A:$A)))) + 1))</f>
        <v/>
      </c>
      <c r="H215" t="str" cm="1">
        <f t="array" ref="H215">IF(Working!$A215="","",INDEX(Working!$A$2:INDEX(Working!$A:$A, MATCH("zzz", Working!$A:$A)), MOD(ROW()-ROW(H$2)+H$1, COUNTA(Working!$A$2:INDEX(Working!$A:$A, MATCH("zzz", Working!$A:$A)))) + 1))</f>
        <v/>
      </c>
      <c r="I215" t="str" cm="1">
        <f t="array" ref="I215">IF(Working!$A215="","",INDEX(Working!$A$2:INDEX(Working!$A:$A, MATCH("zzz", Working!$A:$A)), MOD(ROW()-ROW(I$2)+I$1, COUNTA(Working!$A$2:INDEX(Working!$A:$A, MATCH("zzz", Working!$A:$A)))) + 1))</f>
        <v/>
      </c>
      <c r="J215" t="str" cm="1">
        <f t="array" ref="J215">IF(Working!$A215="","",INDEX(Working!$A$2:INDEX(Working!$A:$A, MATCH("zzz", Working!$A:$A)), MOD(ROW()-ROW(J$2)+J$1, COUNTA(Working!$A$2:INDEX(Working!$A:$A, MATCH("zzz", Working!$A:$A)))) + 1))</f>
        <v/>
      </c>
      <c r="K215" t="str" cm="1">
        <f t="array" ref="K215">IF(Working!$A215="","",INDEX(Working!$A$2:INDEX(Working!$A:$A, MATCH("zzz", Working!$A:$A)), MOD(ROW()-ROW(K$2)+K$1, COUNTA(Working!$A$2:INDEX(Working!$A:$A, MATCH("zzz", Working!$A:$A)))) + 1))</f>
        <v/>
      </c>
      <c r="L215" t="str" cm="1">
        <f t="array" ref="L215">IF(Working!$A215="","",INDEX(Working!$A$2:INDEX(Working!$A:$A, MATCH("zzz", Working!$A:$A)), MOD(ROW()-ROW(L$2)+L$1, COUNTA(Working!$A$2:INDEX(Working!$A:$A, MATCH("zzz", Working!$A:$A)))) + 1))</f>
        <v/>
      </c>
    </row>
    <row r="216" spans="3:12" ht="15.75" customHeight="1" x14ac:dyDescent="0.2">
      <c r="C216" t="str" cm="1">
        <f t="array" ref="C216">IF(Working!$A216="","",INDEX(Working!$A$2:INDEX(Working!$A:$A, MATCH("zzz", Working!$A:$A)), MOD(ROW()-ROW(C$2)+C$1, COUNTA(Working!$A$2:INDEX(Working!$A:$A, MATCH("zzz", Working!$A:$A)))) + 1))</f>
        <v/>
      </c>
      <c r="D216" t="str" cm="1">
        <f t="array" ref="D216">IF(Working!$A216="","",INDEX(Working!$A$2:INDEX(Working!$A:$A, MATCH("zzz", Working!$A:$A)), MOD(ROW()-ROW(D$2)+D$1, COUNTA(Working!$A$2:INDEX(Working!$A:$A, MATCH("zzz", Working!$A:$A)))) + 1))</f>
        <v/>
      </c>
      <c r="E216" t="str" cm="1">
        <f t="array" ref="E216">IF(Working!$A216="","",INDEX(Working!$A$2:INDEX(Working!$A:$A, MATCH("zzz", Working!$A:$A)), MOD(ROW()-ROW(E$2)+E$1, COUNTA(Working!$A$2:INDEX(Working!$A:$A, MATCH("zzz", Working!$A:$A)))) + 1))</f>
        <v/>
      </c>
      <c r="F216" t="str" cm="1">
        <f t="array" ref="F216">IF(Working!$A216="","",INDEX(Working!$A$2:INDEX(Working!$A:$A, MATCH("zzz", Working!$A:$A)), MOD(ROW()-ROW(F$2)+F$1, COUNTA(Working!$A$2:INDEX(Working!$A:$A, MATCH("zzz", Working!$A:$A)))) + 1))</f>
        <v/>
      </c>
      <c r="G216" t="str" cm="1">
        <f t="array" ref="G216">IF(Working!$A216="","",INDEX(Working!$A$2:INDEX(Working!$A:$A, MATCH("zzz", Working!$A:$A)), MOD(ROW()-ROW(G$2)+G$1, COUNTA(Working!$A$2:INDEX(Working!$A:$A, MATCH("zzz", Working!$A:$A)))) + 1))</f>
        <v/>
      </c>
      <c r="H216" t="str" cm="1">
        <f t="array" ref="H216">IF(Working!$A216="","",INDEX(Working!$A$2:INDEX(Working!$A:$A, MATCH("zzz", Working!$A:$A)), MOD(ROW()-ROW(H$2)+H$1, COUNTA(Working!$A$2:INDEX(Working!$A:$A, MATCH("zzz", Working!$A:$A)))) + 1))</f>
        <v/>
      </c>
      <c r="I216" t="str" cm="1">
        <f t="array" ref="I216">IF(Working!$A216="","",INDEX(Working!$A$2:INDEX(Working!$A:$A, MATCH("zzz", Working!$A:$A)), MOD(ROW()-ROW(I$2)+I$1, COUNTA(Working!$A$2:INDEX(Working!$A:$A, MATCH("zzz", Working!$A:$A)))) + 1))</f>
        <v/>
      </c>
      <c r="J216" t="str" cm="1">
        <f t="array" ref="J216">IF(Working!$A216="","",INDEX(Working!$A$2:INDEX(Working!$A:$A, MATCH("zzz", Working!$A:$A)), MOD(ROW()-ROW(J$2)+J$1, COUNTA(Working!$A$2:INDEX(Working!$A:$A, MATCH("zzz", Working!$A:$A)))) + 1))</f>
        <v/>
      </c>
      <c r="K216" t="str" cm="1">
        <f t="array" ref="K216">IF(Working!$A216="","",INDEX(Working!$A$2:INDEX(Working!$A:$A, MATCH("zzz", Working!$A:$A)), MOD(ROW()-ROW(K$2)+K$1, COUNTA(Working!$A$2:INDEX(Working!$A:$A, MATCH("zzz", Working!$A:$A)))) + 1))</f>
        <v/>
      </c>
      <c r="L216" t="str" cm="1">
        <f t="array" ref="L216">IF(Working!$A216="","",INDEX(Working!$A$2:INDEX(Working!$A:$A, MATCH("zzz", Working!$A:$A)), MOD(ROW()-ROW(L$2)+L$1, COUNTA(Working!$A$2:INDEX(Working!$A:$A, MATCH("zzz", Working!$A:$A)))) + 1))</f>
        <v/>
      </c>
    </row>
    <row r="217" spans="3:12" ht="15.75" customHeight="1" x14ac:dyDescent="0.2">
      <c r="C217" t="str" cm="1">
        <f t="array" ref="C217">IF(Working!$A217="","",INDEX(Working!$A$2:INDEX(Working!$A:$A, MATCH("zzz", Working!$A:$A)), MOD(ROW()-ROW(C$2)+C$1, COUNTA(Working!$A$2:INDEX(Working!$A:$A, MATCH("zzz", Working!$A:$A)))) + 1))</f>
        <v/>
      </c>
      <c r="D217" t="str" cm="1">
        <f t="array" ref="D217">IF(Working!$A217="","",INDEX(Working!$A$2:INDEX(Working!$A:$A, MATCH("zzz", Working!$A:$A)), MOD(ROW()-ROW(D$2)+D$1, COUNTA(Working!$A$2:INDEX(Working!$A:$A, MATCH("zzz", Working!$A:$A)))) + 1))</f>
        <v/>
      </c>
      <c r="E217" t="str" cm="1">
        <f t="array" ref="E217">IF(Working!$A217="","",INDEX(Working!$A$2:INDEX(Working!$A:$A, MATCH("zzz", Working!$A:$A)), MOD(ROW()-ROW(E$2)+E$1, COUNTA(Working!$A$2:INDEX(Working!$A:$A, MATCH("zzz", Working!$A:$A)))) + 1))</f>
        <v/>
      </c>
      <c r="F217" t="str" cm="1">
        <f t="array" ref="F217">IF(Working!$A217="","",INDEX(Working!$A$2:INDEX(Working!$A:$A, MATCH("zzz", Working!$A:$A)), MOD(ROW()-ROW(F$2)+F$1, COUNTA(Working!$A$2:INDEX(Working!$A:$A, MATCH("zzz", Working!$A:$A)))) + 1))</f>
        <v/>
      </c>
      <c r="G217" t="str" cm="1">
        <f t="array" ref="G217">IF(Working!$A217="","",INDEX(Working!$A$2:INDEX(Working!$A:$A, MATCH("zzz", Working!$A:$A)), MOD(ROW()-ROW(G$2)+G$1, COUNTA(Working!$A$2:INDEX(Working!$A:$A, MATCH("zzz", Working!$A:$A)))) + 1))</f>
        <v/>
      </c>
      <c r="H217" t="str" cm="1">
        <f t="array" ref="H217">IF(Working!$A217="","",INDEX(Working!$A$2:INDEX(Working!$A:$A, MATCH("zzz", Working!$A:$A)), MOD(ROW()-ROW(H$2)+H$1, COUNTA(Working!$A$2:INDEX(Working!$A:$A, MATCH("zzz", Working!$A:$A)))) + 1))</f>
        <v/>
      </c>
      <c r="I217" t="str" cm="1">
        <f t="array" ref="I217">IF(Working!$A217="","",INDEX(Working!$A$2:INDEX(Working!$A:$A, MATCH("zzz", Working!$A:$A)), MOD(ROW()-ROW(I$2)+I$1, COUNTA(Working!$A$2:INDEX(Working!$A:$A, MATCH("zzz", Working!$A:$A)))) + 1))</f>
        <v/>
      </c>
      <c r="J217" t="str" cm="1">
        <f t="array" ref="J217">IF(Working!$A217="","",INDEX(Working!$A$2:INDEX(Working!$A:$A, MATCH("zzz", Working!$A:$A)), MOD(ROW()-ROW(J$2)+J$1, COUNTA(Working!$A$2:INDEX(Working!$A:$A, MATCH("zzz", Working!$A:$A)))) + 1))</f>
        <v/>
      </c>
      <c r="K217" t="str" cm="1">
        <f t="array" ref="K217">IF(Working!$A217="","",INDEX(Working!$A$2:INDEX(Working!$A:$A, MATCH("zzz", Working!$A:$A)), MOD(ROW()-ROW(K$2)+K$1, COUNTA(Working!$A$2:INDEX(Working!$A:$A, MATCH("zzz", Working!$A:$A)))) + 1))</f>
        <v/>
      </c>
      <c r="L217" t="str" cm="1">
        <f t="array" ref="L217">IF(Working!$A217="","",INDEX(Working!$A$2:INDEX(Working!$A:$A, MATCH("zzz", Working!$A:$A)), MOD(ROW()-ROW(L$2)+L$1, COUNTA(Working!$A$2:INDEX(Working!$A:$A, MATCH("zzz", Working!$A:$A)))) + 1))</f>
        <v/>
      </c>
    </row>
    <row r="218" spans="3:12" ht="15.75" customHeight="1" x14ac:dyDescent="0.2">
      <c r="C218" t="str" cm="1">
        <f t="array" ref="C218">IF(Working!$A218="","",INDEX(Working!$A$2:INDEX(Working!$A:$A, MATCH("zzz", Working!$A:$A)), MOD(ROW()-ROW(C$2)+C$1, COUNTA(Working!$A$2:INDEX(Working!$A:$A, MATCH("zzz", Working!$A:$A)))) + 1))</f>
        <v/>
      </c>
      <c r="D218" t="str" cm="1">
        <f t="array" ref="D218">IF(Working!$A218="","",INDEX(Working!$A$2:INDEX(Working!$A:$A, MATCH("zzz", Working!$A:$A)), MOD(ROW()-ROW(D$2)+D$1, COUNTA(Working!$A$2:INDEX(Working!$A:$A, MATCH("zzz", Working!$A:$A)))) + 1))</f>
        <v/>
      </c>
      <c r="E218" t="str" cm="1">
        <f t="array" ref="E218">IF(Working!$A218="","",INDEX(Working!$A$2:INDEX(Working!$A:$A, MATCH("zzz", Working!$A:$A)), MOD(ROW()-ROW(E$2)+E$1, COUNTA(Working!$A$2:INDEX(Working!$A:$A, MATCH("zzz", Working!$A:$A)))) + 1))</f>
        <v/>
      </c>
      <c r="F218" t="str" cm="1">
        <f t="array" ref="F218">IF(Working!$A218="","",INDEX(Working!$A$2:INDEX(Working!$A:$A, MATCH("zzz", Working!$A:$A)), MOD(ROW()-ROW(F$2)+F$1, COUNTA(Working!$A$2:INDEX(Working!$A:$A, MATCH("zzz", Working!$A:$A)))) + 1))</f>
        <v/>
      </c>
      <c r="G218" t="str" cm="1">
        <f t="array" ref="G218">IF(Working!$A218="","",INDEX(Working!$A$2:INDEX(Working!$A:$A, MATCH("zzz", Working!$A:$A)), MOD(ROW()-ROW(G$2)+G$1, COUNTA(Working!$A$2:INDEX(Working!$A:$A, MATCH("zzz", Working!$A:$A)))) + 1))</f>
        <v/>
      </c>
      <c r="H218" t="str" cm="1">
        <f t="array" ref="H218">IF(Working!$A218="","",INDEX(Working!$A$2:INDEX(Working!$A:$A, MATCH("zzz", Working!$A:$A)), MOD(ROW()-ROW(H$2)+H$1, COUNTA(Working!$A$2:INDEX(Working!$A:$A, MATCH("zzz", Working!$A:$A)))) + 1))</f>
        <v/>
      </c>
      <c r="I218" t="str" cm="1">
        <f t="array" ref="I218">IF(Working!$A218="","",INDEX(Working!$A$2:INDEX(Working!$A:$A, MATCH("zzz", Working!$A:$A)), MOD(ROW()-ROW(I$2)+I$1, COUNTA(Working!$A$2:INDEX(Working!$A:$A, MATCH("zzz", Working!$A:$A)))) + 1))</f>
        <v/>
      </c>
      <c r="J218" t="str" cm="1">
        <f t="array" ref="J218">IF(Working!$A218="","",INDEX(Working!$A$2:INDEX(Working!$A:$A, MATCH("zzz", Working!$A:$A)), MOD(ROW()-ROW(J$2)+J$1, COUNTA(Working!$A$2:INDEX(Working!$A:$A, MATCH("zzz", Working!$A:$A)))) + 1))</f>
        <v/>
      </c>
      <c r="K218" t="str" cm="1">
        <f t="array" ref="K218">IF(Working!$A218="","",INDEX(Working!$A$2:INDEX(Working!$A:$A, MATCH("zzz", Working!$A:$A)), MOD(ROW()-ROW(K$2)+K$1, COUNTA(Working!$A$2:INDEX(Working!$A:$A, MATCH("zzz", Working!$A:$A)))) + 1))</f>
        <v/>
      </c>
      <c r="L218" t="str" cm="1">
        <f t="array" ref="L218">IF(Working!$A218="","",INDEX(Working!$A$2:INDEX(Working!$A:$A, MATCH("zzz", Working!$A:$A)), MOD(ROW()-ROW(L$2)+L$1, COUNTA(Working!$A$2:INDEX(Working!$A:$A, MATCH("zzz", Working!$A:$A)))) + 1))</f>
        <v/>
      </c>
    </row>
    <row r="219" spans="3:12" ht="15.75" customHeight="1" x14ac:dyDescent="0.2">
      <c r="C219" t="str" cm="1">
        <f t="array" ref="C219">IF(Working!$A219="","",INDEX(Working!$A$2:INDEX(Working!$A:$A, MATCH("zzz", Working!$A:$A)), MOD(ROW()-ROW(C$2)+C$1, COUNTA(Working!$A$2:INDEX(Working!$A:$A, MATCH("zzz", Working!$A:$A)))) + 1))</f>
        <v/>
      </c>
      <c r="D219" t="str" cm="1">
        <f t="array" ref="D219">IF(Working!$A219="","",INDEX(Working!$A$2:INDEX(Working!$A:$A, MATCH("zzz", Working!$A:$A)), MOD(ROW()-ROW(D$2)+D$1, COUNTA(Working!$A$2:INDEX(Working!$A:$A, MATCH("zzz", Working!$A:$A)))) + 1))</f>
        <v/>
      </c>
      <c r="E219" t="str" cm="1">
        <f t="array" ref="E219">IF(Working!$A219="","",INDEX(Working!$A$2:INDEX(Working!$A:$A, MATCH("zzz", Working!$A:$A)), MOD(ROW()-ROW(E$2)+E$1, COUNTA(Working!$A$2:INDEX(Working!$A:$A, MATCH("zzz", Working!$A:$A)))) + 1))</f>
        <v/>
      </c>
      <c r="F219" t="str" cm="1">
        <f t="array" ref="F219">IF(Working!$A219="","",INDEX(Working!$A$2:INDEX(Working!$A:$A, MATCH("zzz", Working!$A:$A)), MOD(ROW()-ROW(F$2)+F$1, COUNTA(Working!$A$2:INDEX(Working!$A:$A, MATCH("zzz", Working!$A:$A)))) + 1))</f>
        <v/>
      </c>
      <c r="G219" t="str" cm="1">
        <f t="array" ref="G219">IF(Working!$A219="","",INDEX(Working!$A$2:INDEX(Working!$A:$A, MATCH("zzz", Working!$A:$A)), MOD(ROW()-ROW(G$2)+G$1, COUNTA(Working!$A$2:INDEX(Working!$A:$A, MATCH("zzz", Working!$A:$A)))) + 1))</f>
        <v/>
      </c>
      <c r="H219" t="str" cm="1">
        <f t="array" ref="H219">IF(Working!$A219="","",INDEX(Working!$A$2:INDEX(Working!$A:$A, MATCH("zzz", Working!$A:$A)), MOD(ROW()-ROW(H$2)+H$1, COUNTA(Working!$A$2:INDEX(Working!$A:$A, MATCH("zzz", Working!$A:$A)))) + 1))</f>
        <v/>
      </c>
      <c r="I219" t="str" cm="1">
        <f t="array" ref="I219">IF(Working!$A219="","",INDEX(Working!$A$2:INDEX(Working!$A:$A, MATCH("zzz", Working!$A:$A)), MOD(ROW()-ROW(I$2)+I$1, COUNTA(Working!$A$2:INDEX(Working!$A:$A, MATCH("zzz", Working!$A:$A)))) + 1))</f>
        <v/>
      </c>
      <c r="J219" t="str" cm="1">
        <f t="array" ref="J219">IF(Working!$A219="","",INDEX(Working!$A$2:INDEX(Working!$A:$A, MATCH("zzz", Working!$A:$A)), MOD(ROW()-ROW(J$2)+J$1, COUNTA(Working!$A$2:INDEX(Working!$A:$A, MATCH("zzz", Working!$A:$A)))) + 1))</f>
        <v/>
      </c>
      <c r="K219" t="str" cm="1">
        <f t="array" ref="K219">IF(Working!$A219="","",INDEX(Working!$A$2:INDEX(Working!$A:$A, MATCH("zzz", Working!$A:$A)), MOD(ROW()-ROW(K$2)+K$1, COUNTA(Working!$A$2:INDEX(Working!$A:$A, MATCH("zzz", Working!$A:$A)))) + 1))</f>
        <v/>
      </c>
      <c r="L219" t="str" cm="1">
        <f t="array" ref="L219">IF(Working!$A219="","",INDEX(Working!$A$2:INDEX(Working!$A:$A, MATCH("zzz", Working!$A:$A)), MOD(ROW()-ROW(L$2)+L$1, COUNTA(Working!$A$2:INDEX(Working!$A:$A, MATCH("zzz", Working!$A:$A)))) + 1))</f>
        <v/>
      </c>
    </row>
    <row r="220" spans="3:12" ht="15.75" customHeight="1" x14ac:dyDescent="0.2">
      <c r="C220" t="str" cm="1">
        <f t="array" ref="C220">IF(Working!$A220="","",INDEX(Working!$A$2:INDEX(Working!$A:$A, MATCH("zzz", Working!$A:$A)), MOD(ROW()-ROW(C$2)+C$1, COUNTA(Working!$A$2:INDEX(Working!$A:$A, MATCH("zzz", Working!$A:$A)))) + 1))</f>
        <v/>
      </c>
      <c r="D220" t="str" cm="1">
        <f t="array" ref="D220">IF(Working!$A220="","",INDEX(Working!$A$2:INDEX(Working!$A:$A, MATCH("zzz", Working!$A:$A)), MOD(ROW()-ROW(D$2)+D$1, COUNTA(Working!$A$2:INDEX(Working!$A:$A, MATCH("zzz", Working!$A:$A)))) + 1))</f>
        <v/>
      </c>
      <c r="E220" t="str" cm="1">
        <f t="array" ref="E220">IF(Working!$A220="","",INDEX(Working!$A$2:INDEX(Working!$A:$A, MATCH("zzz", Working!$A:$A)), MOD(ROW()-ROW(E$2)+E$1, COUNTA(Working!$A$2:INDEX(Working!$A:$A, MATCH("zzz", Working!$A:$A)))) + 1))</f>
        <v/>
      </c>
      <c r="F220" t="str" cm="1">
        <f t="array" ref="F220">IF(Working!$A220="","",INDEX(Working!$A$2:INDEX(Working!$A:$A, MATCH("zzz", Working!$A:$A)), MOD(ROW()-ROW(F$2)+F$1, COUNTA(Working!$A$2:INDEX(Working!$A:$A, MATCH("zzz", Working!$A:$A)))) + 1))</f>
        <v/>
      </c>
      <c r="G220" t="str" cm="1">
        <f t="array" ref="G220">IF(Working!$A220="","",INDEX(Working!$A$2:INDEX(Working!$A:$A, MATCH("zzz", Working!$A:$A)), MOD(ROW()-ROW(G$2)+G$1, COUNTA(Working!$A$2:INDEX(Working!$A:$A, MATCH("zzz", Working!$A:$A)))) + 1))</f>
        <v/>
      </c>
      <c r="H220" t="str" cm="1">
        <f t="array" ref="H220">IF(Working!$A220="","",INDEX(Working!$A$2:INDEX(Working!$A:$A, MATCH("zzz", Working!$A:$A)), MOD(ROW()-ROW(H$2)+H$1, COUNTA(Working!$A$2:INDEX(Working!$A:$A, MATCH("zzz", Working!$A:$A)))) + 1))</f>
        <v/>
      </c>
      <c r="I220" t="str" cm="1">
        <f t="array" ref="I220">IF(Working!$A220="","",INDEX(Working!$A$2:INDEX(Working!$A:$A, MATCH("zzz", Working!$A:$A)), MOD(ROW()-ROW(I$2)+I$1, COUNTA(Working!$A$2:INDEX(Working!$A:$A, MATCH("zzz", Working!$A:$A)))) + 1))</f>
        <v/>
      </c>
      <c r="J220" t="str" cm="1">
        <f t="array" ref="J220">IF(Working!$A220="","",INDEX(Working!$A$2:INDEX(Working!$A:$A, MATCH("zzz", Working!$A:$A)), MOD(ROW()-ROW(J$2)+J$1, COUNTA(Working!$A$2:INDEX(Working!$A:$A, MATCH("zzz", Working!$A:$A)))) + 1))</f>
        <v/>
      </c>
      <c r="K220" t="str" cm="1">
        <f t="array" ref="K220">IF(Working!$A220="","",INDEX(Working!$A$2:INDEX(Working!$A:$A, MATCH("zzz", Working!$A:$A)), MOD(ROW()-ROW(K$2)+K$1, COUNTA(Working!$A$2:INDEX(Working!$A:$A, MATCH("zzz", Working!$A:$A)))) + 1))</f>
        <v/>
      </c>
      <c r="L220" t="str" cm="1">
        <f t="array" ref="L220">IF(Working!$A220="","",INDEX(Working!$A$2:INDEX(Working!$A:$A, MATCH("zzz", Working!$A:$A)), MOD(ROW()-ROW(L$2)+L$1, COUNTA(Working!$A$2:INDEX(Working!$A:$A, MATCH("zzz", Working!$A:$A)))) + 1))</f>
        <v/>
      </c>
    </row>
    <row r="221" spans="3:12" ht="15.75" customHeight="1" x14ac:dyDescent="0.2">
      <c r="C221" t="str" cm="1">
        <f t="array" ref="C221">IF(Working!$A221="","",INDEX(Working!$A$2:INDEX(Working!$A:$A, MATCH("zzz", Working!$A:$A)), MOD(ROW()-ROW(C$2)+C$1, COUNTA(Working!$A$2:INDEX(Working!$A:$A, MATCH("zzz", Working!$A:$A)))) + 1))</f>
        <v/>
      </c>
      <c r="D221" t="str" cm="1">
        <f t="array" ref="D221">IF(Working!$A221="","",INDEX(Working!$A$2:INDEX(Working!$A:$A, MATCH("zzz", Working!$A:$A)), MOD(ROW()-ROW(D$2)+D$1, COUNTA(Working!$A$2:INDEX(Working!$A:$A, MATCH("zzz", Working!$A:$A)))) + 1))</f>
        <v/>
      </c>
      <c r="E221" t="str" cm="1">
        <f t="array" ref="E221">IF(Working!$A221="","",INDEX(Working!$A$2:INDEX(Working!$A:$A, MATCH("zzz", Working!$A:$A)), MOD(ROW()-ROW(E$2)+E$1, COUNTA(Working!$A$2:INDEX(Working!$A:$A, MATCH("zzz", Working!$A:$A)))) + 1))</f>
        <v/>
      </c>
      <c r="F221" t="str" cm="1">
        <f t="array" ref="F221">IF(Working!$A221="","",INDEX(Working!$A$2:INDEX(Working!$A:$A, MATCH("zzz", Working!$A:$A)), MOD(ROW()-ROW(F$2)+F$1, COUNTA(Working!$A$2:INDEX(Working!$A:$A, MATCH("zzz", Working!$A:$A)))) + 1))</f>
        <v/>
      </c>
      <c r="G221" t="str" cm="1">
        <f t="array" ref="G221">IF(Working!$A221="","",INDEX(Working!$A$2:INDEX(Working!$A:$A, MATCH("zzz", Working!$A:$A)), MOD(ROW()-ROW(G$2)+G$1, COUNTA(Working!$A$2:INDEX(Working!$A:$A, MATCH("zzz", Working!$A:$A)))) + 1))</f>
        <v/>
      </c>
      <c r="H221" t="str" cm="1">
        <f t="array" ref="H221">IF(Working!$A221="","",INDEX(Working!$A$2:INDEX(Working!$A:$A, MATCH("zzz", Working!$A:$A)), MOD(ROW()-ROW(H$2)+H$1, COUNTA(Working!$A$2:INDEX(Working!$A:$A, MATCH("zzz", Working!$A:$A)))) + 1))</f>
        <v/>
      </c>
      <c r="I221" t="str" cm="1">
        <f t="array" ref="I221">IF(Working!$A221="","",INDEX(Working!$A$2:INDEX(Working!$A:$A, MATCH("zzz", Working!$A:$A)), MOD(ROW()-ROW(I$2)+I$1, COUNTA(Working!$A$2:INDEX(Working!$A:$A, MATCH("zzz", Working!$A:$A)))) + 1))</f>
        <v/>
      </c>
      <c r="J221" t="str" cm="1">
        <f t="array" ref="J221">IF(Working!$A221="","",INDEX(Working!$A$2:INDEX(Working!$A:$A, MATCH("zzz", Working!$A:$A)), MOD(ROW()-ROW(J$2)+J$1, COUNTA(Working!$A$2:INDEX(Working!$A:$A, MATCH("zzz", Working!$A:$A)))) + 1))</f>
        <v/>
      </c>
      <c r="K221" t="str" cm="1">
        <f t="array" ref="K221">IF(Working!$A221="","",INDEX(Working!$A$2:INDEX(Working!$A:$A, MATCH("zzz", Working!$A:$A)), MOD(ROW()-ROW(K$2)+K$1, COUNTA(Working!$A$2:INDEX(Working!$A:$A, MATCH("zzz", Working!$A:$A)))) + 1))</f>
        <v/>
      </c>
      <c r="L221" t="str" cm="1">
        <f t="array" ref="L221">IF(Working!$A221="","",INDEX(Working!$A$2:INDEX(Working!$A:$A, MATCH("zzz", Working!$A:$A)), MOD(ROW()-ROW(L$2)+L$1, COUNTA(Working!$A$2:INDEX(Working!$A:$A, MATCH("zzz", Working!$A:$A)))) + 1))</f>
        <v/>
      </c>
    </row>
    <row r="222" spans="3:12" ht="15.75" customHeight="1" x14ac:dyDescent="0.2">
      <c r="C222" t="str" cm="1">
        <f t="array" ref="C222">IF(Working!$A222="","",INDEX(Working!$A$2:INDEX(Working!$A:$A, MATCH("zzz", Working!$A:$A)), MOD(ROW()-ROW(C$2)+C$1, COUNTA(Working!$A$2:INDEX(Working!$A:$A, MATCH("zzz", Working!$A:$A)))) + 1))</f>
        <v/>
      </c>
      <c r="D222" t="str" cm="1">
        <f t="array" ref="D222">IF(Working!$A222="","",INDEX(Working!$A$2:INDEX(Working!$A:$A, MATCH("zzz", Working!$A:$A)), MOD(ROW()-ROW(D$2)+D$1, COUNTA(Working!$A$2:INDEX(Working!$A:$A, MATCH("zzz", Working!$A:$A)))) + 1))</f>
        <v/>
      </c>
      <c r="E222" t="str" cm="1">
        <f t="array" ref="E222">IF(Working!$A222="","",INDEX(Working!$A$2:INDEX(Working!$A:$A, MATCH("zzz", Working!$A:$A)), MOD(ROW()-ROW(E$2)+E$1, COUNTA(Working!$A$2:INDEX(Working!$A:$A, MATCH("zzz", Working!$A:$A)))) + 1))</f>
        <v/>
      </c>
      <c r="F222" t="str" cm="1">
        <f t="array" ref="F222">IF(Working!$A222="","",INDEX(Working!$A$2:INDEX(Working!$A:$A, MATCH("zzz", Working!$A:$A)), MOD(ROW()-ROW(F$2)+F$1, COUNTA(Working!$A$2:INDEX(Working!$A:$A, MATCH("zzz", Working!$A:$A)))) + 1))</f>
        <v/>
      </c>
      <c r="G222" t="str" cm="1">
        <f t="array" ref="G222">IF(Working!$A222="","",INDEX(Working!$A$2:INDEX(Working!$A:$A, MATCH("zzz", Working!$A:$A)), MOD(ROW()-ROW(G$2)+G$1, COUNTA(Working!$A$2:INDEX(Working!$A:$A, MATCH("zzz", Working!$A:$A)))) + 1))</f>
        <v/>
      </c>
      <c r="H222" t="str" cm="1">
        <f t="array" ref="H222">IF(Working!$A222="","",INDEX(Working!$A$2:INDEX(Working!$A:$A, MATCH("zzz", Working!$A:$A)), MOD(ROW()-ROW(H$2)+H$1, COUNTA(Working!$A$2:INDEX(Working!$A:$A, MATCH("zzz", Working!$A:$A)))) + 1))</f>
        <v/>
      </c>
      <c r="I222" t="str" cm="1">
        <f t="array" ref="I222">IF(Working!$A222="","",INDEX(Working!$A$2:INDEX(Working!$A:$A, MATCH("zzz", Working!$A:$A)), MOD(ROW()-ROW(I$2)+I$1, COUNTA(Working!$A$2:INDEX(Working!$A:$A, MATCH("zzz", Working!$A:$A)))) + 1))</f>
        <v/>
      </c>
      <c r="J222" t="str" cm="1">
        <f t="array" ref="J222">IF(Working!$A222="","",INDEX(Working!$A$2:INDEX(Working!$A:$A, MATCH("zzz", Working!$A:$A)), MOD(ROW()-ROW(J$2)+J$1, COUNTA(Working!$A$2:INDEX(Working!$A:$A, MATCH("zzz", Working!$A:$A)))) + 1))</f>
        <v/>
      </c>
      <c r="K222" t="str" cm="1">
        <f t="array" ref="K222">IF(Working!$A222="","",INDEX(Working!$A$2:INDEX(Working!$A:$A, MATCH("zzz", Working!$A:$A)), MOD(ROW()-ROW(K$2)+K$1, COUNTA(Working!$A$2:INDEX(Working!$A:$A, MATCH("zzz", Working!$A:$A)))) + 1))</f>
        <v/>
      </c>
      <c r="L222" t="str" cm="1">
        <f t="array" ref="L222">IF(Working!$A222="","",INDEX(Working!$A$2:INDEX(Working!$A:$A, MATCH("zzz", Working!$A:$A)), MOD(ROW()-ROW(L$2)+L$1, COUNTA(Working!$A$2:INDEX(Working!$A:$A, MATCH("zzz", Working!$A:$A)))) + 1))</f>
        <v/>
      </c>
    </row>
    <row r="223" spans="3:12" ht="15.75" customHeight="1" x14ac:dyDescent="0.2">
      <c r="C223" t="str" cm="1">
        <f t="array" ref="C223">IF(Working!$A223="","",INDEX(Working!$A$2:INDEX(Working!$A:$A, MATCH("zzz", Working!$A:$A)), MOD(ROW()-ROW(C$2)+C$1, COUNTA(Working!$A$2:INDEX(Working!$A:$A, MATCH("zzz", Working!$A:$A)))) + 1))</f>
        <v/>
      </c>
      <c r="D223" t="str" cm="1">
        <f t="array" ref="D223">IF(Working!$A223="","",INDEX(Working!$A$2:INDEX(Working!$A:$A, MATCH("zzz", Working!$A:$A)), MOD(ROW()-ROW(D$2)+D$1, COUNTA(Working!$A$2:INDEX(Working!$A:$A, MATCH("zzz", Working!$A:$A)))) + 1))</f>
        <v/>
      </c>
      <c r="E223" t="str" cm="1">
        <f t="array" ref="E223">IF(Working!$A223="","",INDEX(Working!$A$2:INDEX(Working!$A:$A, MATCH("zzz", Working!$A:$A)), MOD(ROW()-ROW(E$2)+E$1, COUNTA(Working!$A$2:INDEX(Working!$A:$A, MATCH("zzz", Working!$A:$A)))) + 1))</f>
        <v/>
      </c>
      <c r="F223" t="str" cm="1">
        <f t="array" ref="F223">IF(Working!$A223="","",INDEX(Working!$A$2:INDEX(Working!$A:$A, MATCH("zzz", Working!$A:$A)), MOD(ROW()-ROW(F$2)+F$1, COUNTA(Working!$A$2:INDEX(Working!$A:$A, MATCH("zzz", Working!$A:$A)))) + 1))</f>
        <v/>
      </c>
      <c r="G223" t="str" cm="1">
        <f t="array" ref="G223">IF(Working!$A223="","",INDEX(Working!$A$2:INDEX(Working!$A:$A, MATCH("zzz", Working!$A:$A)), MOD(ROW()-ROW(G$2)+G$1, COUNTA(Working!$A$2:INDEX(Working!$A:$A, MATCH("zzz", Working!$A:$A)))) + 1))</f>
        <v/>
      </c>
      <c r="H223" t="str" cm="1">
        <f t="array" ref="H223">IF(Working!$A223="","",INDEX(Working!$A$2:INDEX(Working!$A:$A, MATCH("zzz", Working!$A:$A)), MOD(ROW()-ROW(H$2)+H$1, COUNTA(Working!$A$2:INDEX(Working!$A:$A, MATCH("zzz", Working!$A:$A)))) + 1))</f>
        <v/>
      </c>
      <c r="I223" t="str" cm="1">
        <f t="array" ref="I223">IF(Working!$A223="","",INDEX(Working!$A$2:INDEX(Working!$A:$A, MATCH("zzz", Working!$A:$A)), MOD(ROW()-ROW(I$2)+I$1, COUNTA(Working!$A$2:INDEX(Working!$A:$A, MATCH("zzz", Working!$A:$A)))) + 1))</f>
        <v/>
      </c>
      <c r="J223" t="str" cm="1">
        <f t="array" ref="J223">IF(Working!$A223="","",INDEX(Working!$A$2:INDEX(Working!$A:$A, MATCH("zzz", Working!$A:$A)), MOD(ROW()-ROW(J$2)+J$1, COUNTA(Working!$A$2:INDEX(Working!$A:$A, MATCH("zzz", Working!$A:$A)))) + 1))</f>
        <v/>
      </c>
      <c r="K223" t="str" cm="1">
        <f t="array" ref="K223">IF(Working!$A223="","",INDEX(Working!$A$2:INDEX(Working!$A:$A, MATCH("zzz", Working!$A:$A)), MOD(ROW()-ROW(K$2)+K$1, COUNTA(Working!$A$2:INDEX(Working!$A:$A, MATCH("zzz", Working!$A:$A)))) + 1))</f>
        <v/>
      </c>
      <c r="L223" t="str" cm="1">
        <f t="array" ref="L223">IF(Working!$A223="","",INDEX(Working!$A$2:INDEX(Working!$A:$A, MATCH("zzz", Working!$A:$A)), MOD(ROW()-ROW(L$2)+L$1, COUNTA(Working!$A$2:INDEX(Working!$A:$A, MATCH("zzz", Working!$A:$A)))) + 1))</f>
        <v/>
      </c>
    </row>
    <row r="224" spans="3:12" ht="15.75" customHeight="1" x14ac:dyDescent="0.2">
      <c r="C224" t="str" cm="1">
        <f t="array" ref="C224">IF(Working!$A224="","",INDEX(Working!$A$2:INDEX(Working!$A:$A, MATCH("zzz", Working!$A:$A)), MOD(ROW()-ROW(C$2)+C$1, COUNTA(Working!$A$2:INDEX(Working!$A:$A, MATCH("zzz", Working!$A:$A)))) + 1))</f>
        <v/>
      </c>
      <c r="D224" t="str" cm="1">
        <f t="array" ref="D224">IF(Working!$A224="","",INDEX(Working!$A$2:INDEX(Working!$A:$A, MATCH("zzz", Working!$A:$A)), MOD(ROW()-ROW(D$2)+D$1, COUNTA(Working!$A$2:INDEX(Working!$A:$A, MATCH("zzz", Working!$A:$A)))) + 1))</f>
        <v/>
      </c>
      <c r="E224" t="str" cm="1">
        <f t="array" ref="E224">IF(Working!$A224="","",INDEX(Working!$A$2:INDEX(Working!$A:$A, MATCH("zzz", Working!$A:$A)), MOD(ROW()-ROW(E$2)+E$1, COUNTA(Working!$A$2:INDEX(Working!$A:$A, MATCH("zzz", Working!$A:$A)))) + 1))</f>
        <v/>
      </c>
      <c r="F224" t="str" cm="1">
        <f t="array" ref="F224">IF(Working!$A224="","",INDEX(Working!$A$2:INDEX(Working!$A:$A, MATCH("zzz", Working!$A:$A)), MOD(ROW()-ROW(F$2)+F$1, COUNTA(Working!$A$2:INDEX(Working!$A:$A, MATCH("zzz", Working!$A:$A)))) + 1))</f>
        <v/>
      </c>
      <c r="G224" t="str" cm="1">
        <f t="array" ref="G224">IF(Working!$A224="","",INDEX(Working!$A$2:INDEX(Working!$A:$A, MATCH("zzz", Working!$A:$A)), MOD(ROW()-ROW(G$2)+G$1, COUNTA(Working!$A$2:INDEX(Working!$A:$A, MATCH("zzz", Working!$A:$A)))) + 1))</f>
        <v/>
      </c>
      <c r="H224" t="str" cm="1">
        <f t="array" ref="H224">IF(Working!$A224="","",INDEX(Working!$A$2:INDEX(Working!$A:$A, MATCH("zzz", Working!$A:$A)), MOD(ROW()-ROW(H$2)+H$1, COUNTA(Working!$A$2:INDEX(Working!$A:$A, MATCH("zzz", Working!$A:$A)))) + 1))</f>
        <v/>
      </c>
      <c r="I224" t="str" cm="1">
        <f t="array" ref="I224">IF(Working!$A224="","",INDEX(Working!$A$2:INDEX(Working!$A:$A, MATCH("zzz", Working!$A:$A)), MOD(ROW()-ROW(I$2)+I$1, COUNTA(Working!$A$2:INDEX(Working!$A:$A, MATCH("zzz", Working!$A:$A)))) + 1))</f>
        <v/>
      </c>
      <c r="J224" t="str" cm="1">
        <f t="array" ref="J224">IF(Working!$A224="","",INDEX(Working!$A$2:INDEX(Working!$A:$A, MATCH("zzz", Working!$A:$A)), MOD(ROW()-ROW(J$2)+J$1, COUNTA(Working!$A$2:INDEX(Working!$A:$A, MATCH("zzz", Working!$A:$A)))) + 1))</f>
        <v/>
      </c>
      <c r="K224" t="str" cm="1">
        <f t="array" ref="K224">IF(Working!$A224="","",INDEX(Working!$A$2:INDEX(Working!$A:$A, MATCH("zzz", Working!$A:$A)), MOD(ROW()-ROW(K$2)+K$1, COUNTA(Working!$A$2:INDEX(Working!$A:$A, MATCH("zzz", Working!$A:$A)))) + 1))</f>
        <v/>
      </c>
      <c r="L224" t="str" cm="1">
        <f t="array" ref="L224">IF(Working!$A224="","",INDEX(Working!$A$2:INDEX(Working!$A:$A, MATCH("zzz", Working!$A:$A)), MOD(ROW()-ROW(L$2)+L$1, COUNTA(Working!$A$2:INDEX(Working!$A:$A, MATCH("zzz", Working!$A:$A)))) + 1))</f>
        <v/>
      </c>
    </row>
    <row r="225" spans="3:12" ht="15.75" customHeight="1" x14ac:dyDescent="0.2">
      <c r="C225" t="str" cm="1">
        <f t="array" ref="C225">IF(Working!$A225="","",INDEX(Working!$A$2:INDEX(Working!$A:$A, MATCH("zzz", Working!$A:$A)), MOD(ROW()-ROW(C$2)+C$1, COUNTA(Working!$A$2:INDEX(Working!$A:$A, MATCH("zzz", Working!$A:$A)))) + 1))</f>
        <v/>
      </c>
      <c r="D225" t="str" cm="1">
        <f t="array" ref="D225">IF(Working!$A225="","",INDEX(Working!$A$2:INDEX(Working!$A:$A, MATCH("zzz", Working!$A:$A)), MOD(ROW()-ROW(D$2)+D$1, COUNTA(Working!$A$2:INDEX(Working!$A:$A, MATCH("zzz", Working!$A:$A)))) + 1))</f>
        <v/>
      </c>
      <c r="E225" t="str" cm="1">
        <f t="array" ref="E225">IF(Working!$A225="","",INDEX(Working!$A$2:INDEX(Working!$A:$A, MATCH("zzz", Working!$A:$A)), MOD(ROW()-ROW(E$2)+E$1, COUNTA(Working!$A$2:INDEX(Working!$A:$A, MATCH("zzz", Working!$A:$A)))) + 1))</f>
        <v/>
      </c>
      <c r="F225" t="str" cm="1">
        <f t="array" ref="F225">IF(Working!$A225="","",INDEX(Working!$A$2:INDEX(Working!$A:$A, MATCH("zzz", Working!$A:$A)), MOD(ROW()-ROW(F$2)+F$1, COUNTA(Working!$A$2:INDEX(Working!$A:$A, MATCH("zzz", Working!$A:$A)))) + 1))</f>
        <v/>
      </c>
      <c r="G225" t="str" cm="1">
        <f t="array" ref="G225">IF(Working!$A225="","",INDEX(Working!$A$2:INDEX(Working!$A:$A, MATCH("zzz", Working!$A:$A)), MOD(ROW()-ROW(G$2)+G$1, COUNTA(Working!$A$2:INDEX(Working!$A:$A, MATCH("zzz", Working!$A:$A)))) + 1))</f>
        <v/>
      </c>
      <c r="H225" t="str" cm="1">
        <f t="array" ref="H225">IF(Working!$A225="","",INDEX(Working!$A$2:INDEX(Working!$A:$A, MATCH("zzz", Working!$A:$A)), MOD(ROW()-ROW(H$2)+H$1, COUNTA(Working!$A$2:INDEX(Working!$A:$A, MATCH("zzz", Working!$A:$A)))) + 1))</f>
        <v/>
      </c>
      <c r="I225" t="str" cm="1">
        <f t="array" ref="I225">IF(Working!$A225="","",INDEX(Working!$A$2:INDEX(Working!$A:$A, MATCH("zzz", Working!$A:$A)), MOD(ROW()-ROW(I$2)+I$1, COUNTA(Working!$A$2:INDEX(Working!$A:$A, MATCH("zzz", Working!$A:$A)))) + 1))</f>
        <v/>
      </c>
      <c r="J225" t="str" cm="1">
        <f t="array" ref="J225">IF(Working!$A225="","",INDEX(Working!$A$2:INDEX(Working!$A:$A, MATCH("zzz", Working!$A:$A)), MOD(ROW()-ROW(J$2)+J$1, COUNTA(Working!$A$2:INDEX(Working!$A:$A, MATCH("zzz", Working!$A:$A)))) + 1))</f>
        <v/>
      </c>
      <c r="K225" t="str" cm="1">
        <f t="array" ref="K225">IF(Working!$A225="","",INDEX(Working!$A$2:INDEX(Working!$A:$A, MATCH("zzz", Working!$A:$A)), MOD(ROW()-ROW(K$2)+K$1, COUNTA(Working!$A$2:INDEX(Working!$A:$A, MATCH("zzz", Working!$A:$A)))) + 1))</f>
        <v/>
      </c>
      <c r="L225" t="str" cm="1">
        <f t="array" ref="L225">IF(Working!$A225="","",INDEX(Working!$A$2:INDEX(Working!$A:$A, MATCH("zzz", Working!$A:$A)), MOD(ROW()-ROW(L$2)+L$1, COUNTA(Working!$A$2:INDEX(Working!$A:$A, MATCH("zzz", Working!$A:$A)))) + 1))</f>
        <v/>
      </c>
    </row>
    <row r="226" spans="3:12" ht="15.75" customHeight="1" x14ac:dyDescent="0.2">
      <c r="C226" t="str" cm="1">
        <f t="array" ref="C226">IF(Working!$A226="","",INDEX(Working!$A$2:INDEX(Working!$A:$A, MATCH("zzz", Working!$A:$A)), MOD(ROW()-ROW(C$2)+C$1, COUNTA(Working!$A$2:INDEX(Working!$A:$A, MATCH("zzz", Working!$A:$A)))) + 1))</f>
        <v/>
      </c>
      <c r="D226" t="str" cm="1">
        <f t="array" ref="D226">IF(Working!$A226="","",INDEX(Working!$A$2:INDEX(Working!$A:$A, MATCH("zzz", Working!$A:$A)), MOD(ROW()-ROW(D$2)+D$1, COUNTA(Working!$A$2:INDEX(Working!$A:$A, MATCH("zzz", Working!$A:$A)))) + 1))</f>
        <v/>
      </c>
      <c r="E226" t="str" cm="1">
        <f t="array" ref="E226">IF(Working!$A226="","",INDEX(Working!$A$2:INDEX(Working!$A:$A, MATCH("zzz", Working!$A:$A)), MOD(ROW()-ROW(E$2)+E$1, COUNTA(Working!$A$2:INDEX(Working!$A:$A, MATCH("zzz", Working!$A:$A)))) + 1))</f>
        <v/>
      </c>
      <c r="F226" t="str" cm="1">
        <f t="array" ref="F226">IF(Working!$A226="","",INDEX(Working!$A$2:INDEX(Working!$A:$A, MATCH("zzz", Working!$A:$A)), MOD(ROW()-ROW(F$2)+F$1, COUNTA(Working!$A$2:INDEX(Working!$A:$A, MATCH("zzz", Working!$A:$A)))) + 1))</f>
        <v/>
      </c>
      <c r="G226" t="str" cm="1">
        <f t="array" ref="G226">IF(Working!$A226="","",INDEX(Working!$A$2:INDEX(Working!$A:$A, MATCH("zzz", Working!$A:$A)), MOD(ROW()-ROW(G$2)+G$1, COUNTA(Working!$A$2:INDEX(Working!$A:$A, MATCH("zzz", Working!$A:$A)))) + 1))</f>
        <v/>
      </c>
      <c r="H226" t="str" cm="1">
        <f t="array" ref="H226">IF(Working!$A226="","",INDEX(Working!$A$2:INDEX(Working!$A:$A, MATCH("zzz", Working!$A:$A)), MOD(ROW()-ROW(H$2)+H$1, COUNTA(Working!$A$2:INDEX(Working!$A:$A, MATCH("zzz", Working!$A:$A)))) + 1))</f>
        <v/>
      </c>
      <c r="I226" t="str" cm="1">
        <f t="array" ref="I226">IF(Working!$A226="","",INDEX(Working!$A$2:INDEX(Working!$A:$A, MATCH("zzz", Working!$A:$A)), MOD(ROW()-ROW(I$2)+I$1, COUNTA(Working!$A$2:INDEX(Working!$A:$A, MATCH("zzz", Working!$A:$A)))) + 1))</f>
        <v/>
      </c>
      <c r="J226" t="str" cm="1">
        <f t="array" ref="J226">IF(Working!$A226="","",INDEX(Working!$A$2:INDEX(Working!$A:$A, MATCH("zzz", Working!$A:$A)), MOD(ROW()-ROW(J$2)+J$1, COUNTA(Working!$A$2:INDEX(Working!$A:$A, MATCH("zzz", Working!$A:$A)))) + 1))</f>
        <v/>
      </c>
      <c r="K226" t="str" cm="1">
        <f t="array" ref="K226">IF(Working!$A226="","",INDEX(Working!$A$2:INDEX(Working!$A:$A, MATCH("zzz", Working!$A:$A)), MOD(ROW()-ROW(K$2)+K$1, COUNTA(Working!$A$2:INDEX(Working!$A:$A, MATCH("zzz", Working!$A:$A)))) + 1))</f>
        <v/>
      </c>
      <c r="L226" t="str" cm="1">
        <f t="array" ref="L226">IF(Working!$A226="","",INDEX(Working!$A$2:INDEX(Working!$A:$A, MATCH("zzz", Working!$A:$A)), MOD(ROW()-ROW(L$2)+L$1, COUNTA(Working!$A$2:INDEX(Working!$A:$A, MATCH("zzz", Working!$A:$A)))) + 1))</f>
        <v/>
      </c>
    </row>
    <row r="227" spans="3:12" ht="15.75" customHeight="1" x14ac:dyDescent="0.2">
      <c r="C227" t="str" cm="1">
        <f t="array" ref="C227">IF(Working!$A227="","",INDEX(Working!$A$2:INDEX(Working!$A:$A, MATCH("zzz", Working!$A:$A)), MOD(ROW()-ROW(C$2)+C$1, COUNTA(Working!$A$2:INDEX(Working!$A:$A, MATCH("zzz", Working!$A:$A)))) + 1))</f>
        <v/>
      </c>
      <c r="D227" t="str" cm="1">
        <f t="array" ref="D227">IF(Working!$A227="","",INDEX(Working!$A$2:INDEX(Working!$A:$A, MATCH("zzz", Working!$A:$A)), MOD(ROW()-ROW(D$2)+D$1, COUNTA(Working!$A$2:INDEX(Working!$A:$A, MATCH("zzz", Working!$A:$A)))) + 1))</f>
        <v/>
      </c>
      <c r="E227" t="str" cm="1">
        <f t="array" ref="E227">IF(Working!$A227="","",INDEX(Working!$A$2:INDEX(Working!$A:$A, MATCH("zzz", Working!$A:$A)), MOD(ROW()-ROW(E$2)+E$1, COUNTA(Working!$A$2:INDEX(Working!$A:$A, MATCH("zzz", Working!$A:$A)))) + 1))</f>
        <v/>
      </c>
      <c r="F227" t="str" cm="1">
        <f t="array" ref="F227">IF(Working!$A227="","",INDEX(Working!$A$2:INDEX(Working!$A:$A, MATCH("zzz", Working!$A:$A)), MOD(ROW()-ROW(F$2)+F$1, COUNTA(Working!$A$2:INDEX(Working!$A:$A, MATCH("zzz", Working!$A:$A)))) + 1))</f>
        <v/>
      </c>
      <c r="G227" t="str" cm="1">
        <f t="array" ref="G227">IF(Working!$A227="","",INDEX(Working!$A$2:INDEX(Working!$A:$A, MATCH("zzz", Working!$A:$A)), MOD(ROW()-ROW(G$2)+G$1, COUNTA(Working!$A$2:INDEX(Working!$A:$A, MATCH("zzz", Working!$A:$A)))) + 1))</f>
        <v/>
      </c>
      <c r="H227" t="str" cm="1">
        <f t="array" ref="H227">IF(Working!$A227="","",INDEX(Working!$A$2:INDEX(Working!$A:$A, MATCH("zzz", Working!$A:$A)), MOD(ROW()-ROW(H$2)+H$1, COUNTA(Working!$A$2:INDEX(Working!$A:$A, MATCH("zzz", Working!$A:$A)))) + 1))</f>
        <v/>
      </c>
      <c r="I227" t="str" cm="1">
        <f t="array" ref="I227">IF(Working!$A227="","",INDEX(Working!$A$2:INDEX(Working!$A:$A, MATCH("zzz", Working!$A:$A)), MOD(ROW()-ROW(I$2)+I$1, COUNTA(Working!$A$2:INDEX(Working!$A:$A, MATCH("zzz", Working!$A:$A)))) + 1))</f>
        <v/>
      </c>
      <c r="J227" t="str" cm="1">
        <f t="array" ref="J227">IF(Working!$A227="","",INDEX(Working!$A$2:INDEX(Working!$A:$A, MATCH("zzz", Working!$A:$A)), MOD(ROW()-ROW(J$2)+J$1, COUNTA(Working!$A$2:INDEX(Working!$A:$A, MATCH("zzz", Working!$A:$A)))) + 1))</f>
        <v/>
      </c>
      <c r="K227" t="str" cm="1">
        <f t="array" ref="K227">IF(Working!$A227="","",INDEX(Working!$A$2:INDEX(Working!$A:$A, MATCH("zzz", Working!$A:$A)), MOD(ROW()-ROW(K$2)+K$1, COUNTA(Working!$A$2:INDEX(Working!$A:$A, MATCH("zzz", Working!$A:$A)))) + 1))</f>
        <v/>
      </c>
      <c r="L227" t="str" cm="1">
        <f t="array" ref="L227">IF(Working!$A227="","",INDEX(Working!$A$2:INDEX(Working!$A:$A, MATCH("zzz", Working!$A:$A)), MOD(ROW()-ROW(L$2)+L$1, COUNTA(Working!$A$2:INDEX(Working!$A:$A, MATCH("zzz", Working!$A:$A)))) + 1))</f>
        <v/>
      </c>
    </row>
    <row r="228" spans="3:12" ht="15.75" customHeight="1" x14ac:dyDescent="0.2">
      <c r="C228" t="str" cm="1">
        <f t="array" ref="C228">IF(Working!$A228="","",INDEX(Working!$A$2:INDEX(Working!$A:$A, MATCH("zzz", Working!$A:$A)), MOD(ROW()-ROW(C$2)+C$1, COUNTA(Working!$A$2:INDEX(Working!$A:$A, MATCH("zzz", Working!$A:$A)))) + 1))</f>
        <v/>
      </c>
      <c r="D228" t="str" cm="1">
        <f t="array" ref="D228">IF(Working!$A228="","",INDEX(Working!$A$2:INDEX(Working!$A:$A, MATCH("zzz", Working!$A:$A)), MOD(ROW()-ROW(D$2)+D$1, COUNTA(Working!$A$2:INDEX(Working!$A:$A, MATCH("zzz", Working!$A:$A)))) + 1))</f>
        <v/>
      </c>
      <c r="E228" t="str" cm="1">
        <f t="array" ref="E228">IF(Working!$A228="","",INDEX(Working!$A$2:INDEX(Working!$A:$A, MATCH("zzz", Working!$A:$A)), MOD(ROW()-ROW(E$2)+E$1, COUNTA(Working!$A$2:INDEX(Working!$A:$A, MATCH("zzz", Working!$A:$A)))) + 1))</f>
        <v/>
      </c>
      <c r="F228" t="str" cm="1">
        <f t="array" ref="F228">IF(Working!$A228="","",INDEX(Working!$A$2:INDEX(Working!$A:$A, MATCH("zzz", Working!$A:$A)), MOD(ROW()-ROW(F$2)+F$1, COUNTA(Working!$A$2:INDEX(Working!$A:$A, MATCH("zzz", Working!$A:$A)))) + 1))</f>
        <v/>
      </c>
      <c r="G228" t="str" cm="1">
        <f t="array" ref="G228">IF(Working!$A228="","",INDEX(Working!$A$2:INDEX(Working!$A:$A, MATCH("zzz", Working!$A:$A)), MOD(ROW()-ROW(G$2)+G$1, COUNTA(Working!$A$2:INDEX(Working!$A:$A, MATCH("zzz", Working!$A:$A)))) + 1))</f>
        <v/>
      </c>
      <c r="H228" t="str" cm="1">
        <f t="array" ref="H228">IF(Working!$A228="","",INDEX(Working!$A$2:INDEX(Working!$A:$A, MATCH("zzz", Working!$A:$A)), MOD(ROW()-ROW(H$2)+H$1, COUNTA(Working!$A$2:INDEX(Working!$A:$A, MATCH("zzz", Working!$A:$A)))) + 1))</f>
        <v/>
      </c>
      <c r="I228" t="str" cm="1">
        <f t="array" ref="I228">IF(Working!$A228="","",INDEX(Working!$A$2:INDEX(Working!$A:$A, MATCH("zzz", Working!$A:$A)), MOD(ROW()-ROW(I$2)+I$1, COUNTA(Working!$A$2:INDEX(Working!$A:$A, MATCH("zzz", Working!$A:$A)))) + 1))</f>
        <v/>
      </c>
      <c r="J228" t="str" cm="1">
        <f t="array" ref="J228">IF(Working!$A228="","",INDEX(Working!$A$2:INDEX(Working!$A:$A, MATCH("zzz", Working!$A:$A)), MOD(ROW()-ROW(J$2)+J$1, COUNTA(Working!$A$2:INDEX(Working!$A:$A, MATCH("zzz", Working!$A:$A)))) + 1))</f>
        <v/>
      </c>
      <c r="K228" t="str" cm="1">
        <f t="array" ref="K228">IF(Working!$A228="","",INDEX(Working!$A$2:INDEX(Working!$A:$A, MATCH("zzz", Working!$A:$A)), MOD(ROW()-ROW(K$2)+K$1, COUNTA(Working!$A$2:INDEX(Working!$A:$A, MATCH("zzz", Working!$A:$A)))) + 1))</f>
        <v/>
      </c>
      <c r="L228" t="str" cm="1">
        <f t="array" ref="L228">IF(Working!$A228="","",INDEX(Working!$A$2:INDEX(Working!$A:$A, MATCH("zzz", Working!$A:$A)), MOD(ROW()-ROW(L$2)+L$1, COUNTA(Working!$A$2:INDEX(Working!$A:$A, MATCH("zzz", Working!$A:$A)))) + 1))</f>
        <v/>
      </c>
    </row>
    <row r="229" spans="3:12" ht="15.75" customHeight="1" x14ac:dyDescent="0.2">
      <c r="C229" t="str" cm="1">
        <f t="array" ref="C229">IF(Working!$A229="","",INDEX(Working!$A$2:INDEX(Working!$A:$A, MATCH("zzz", Working!$A:$A)), MOD(ROW()-ROW(C$2)+C$1, COUNTA(Working!$A$2:INDEX(Working!$A:$A, MATCH("zzz", Working!$A:$A)))) + 1))</f>
        <v/>
      </c>
      <c r="D229" t="str" cm="1">
        <f t="array" ref="D229">IF(Working!$A229="","",INDEX(Working!$A$2:INDEX(Working!$A:$A, MATCH("zzz", Working!$A:$A)), MOD(ROW()-ROW(D$2)+D$1, COUNTA(Working!$A$2:INDEX(Working!$A:$A, MATCH("zzz", Working!$A:$A)))) + 1))</f>
        <v/>
      </c>
      <c r="E229" t="str" cm="1">
        <f t="array" ref="E229">IF(Working!$A229="","",INDEX(Working!$A$2:INDEX(Working!$A:$A, MATCH("zzz", Working!$A:$A)), MOD(ROW()-ROW(E$2)+E$1, COUNTA(Working!$A$2:INDEX(Working!$A:$A, MATCH("zzz", Working!$A:$A)))) + 1))</f>
        <v/>
      </c>
      <c r="F229" t="str" cm="1">
        <f t="array" ref="F229">IF(Working!$A229="","",INDEX(Working!$A$2:INDEX(Working!$A:$A, MATCH("zzz", Working!$A:$A)), MOD(ROW()-ROW(F$2)+F$1, COUNTA(Working!$A$2:INDEX(Working!$A:$A, MATCH("zzz", Working!$A:$A)))) + 1))</f>
        <v/>
      </c>
      <c r="G229" t="str" cm="1">
        <f t="array" ref="G229">IF(Working!$A229="","",INDEX(Working!$A$2:INDEX(Working!$A:$A, MATCH("zzz", Working!$A:$A)), MOD(ROW()-ROW(G$2)+G$1, COUNTA(Working!$A$2:INDEX(Working!$A:$A, MATCH("zzz", Working!$A:$A)))) + 1))</f>
        <v/>
      </c>
      <c r="H229" t="str" cm="1">
        <f t="array" ref="H229">IF(Working!$A229="","",INDEX(Working!$A$2:INDEX(Working!$A:$A, MATCH("zzz", Working!$A:$A)), MOD(ROW()-ROW(H$2)+H$1, COUNTA(Working!$A$2:INDEX(Working!$A:$A, MATCH("zzz", Working!$A:$A)))) + 1))</f>
        <v/>
      </c>
      <c r="I229" t="str" cm="1">
        <f t="array" ref="I229">IF(Working!$A229="","",INDEX(Working!$A$2:INDEX(Working!$A:$A, MATCH("zzz", Working!$A:$A)), MOD(ROW()-ROW(I$2)+I$1, COUNTA(Working!$A$2:INDEX(Working!$A:$A, MATCH("zzz", Working!$A:$A)))) + 1))</f>
        <v/>
      </c>
      <c r="J229" t="str" cm="1">
        <f t="array" ref="J229">IF(Working!$A229="","",INDEX(Working!$A$2:INDEX(Working!$A:$A, MATCH("zzz", Working!$A:$A)), MOD(ROW()-ROW(J$2)+J$1, COUNTA(Working!$A$2:INDEX(Working!$A:$A, MATCH("zzz", Working!$A:$A)))) + 1))</f>
        <v/>
      </c>
      <c r="K229" t="str" cm="1">
        <f t="array" ref="K229">IF(Working!$A229="","",INDEX(Working!$A$2:INDEX(Working!$A:$A, MATCH("zzz", Working!$A:$A)), MOD(ROW()-ROW(K$2)+K$1, COUNTA(Working!$A$2:INDEX(Working!$A:$A, MATCH("zzz", Working!$A:$A)))) + 1))</f>
        <v/>
      </c>
      <c r="L229" t="str" cm="1">
        <f t="array" ref="L229">IF(Working!$A229="","",INDEX(Working!$A$2:INDEX(Working!$A:$A, MATCH("zzz", Working!$A:$A)), MOD(ROW()-ROW(L$2)+L$1, COUNTA(Working!$A$2:INDEX(Working!$A:$A, MATCH("zzz", Working!$A:$A)))) + 1))</f>
        <v/>
      </c>
    </row>
    <row r="230" spans="3:12" ht="15.75" customHeight="1" x14ac:dyDescent="0.2">
      <c r="C230" t="str" cm="1">
        <f t="array" ref="C230">IF(Working!$A230="","",INDEX(Working!$A$2:INDEX(Working!$A:$A, MATCH("zzz", Working!$A:$A)), MOD(ROW()-ROW(C$2)+C$1, COUNTA(Working!$A$2:INDEX(Working!$A:$A, MATCH("zzz", Working!$A:$A)))) + 1))</f>
        <v/>
      </c>
      <c r="D230" t="str" cm="1">
        <f t="array" ref="D230">IF(Working!$A230="","",INDEX(Working!$A$2:INDEX(Working!$A:$A, MATCH("zzz", Working!$A:$A)), MOD(ROW()-ROW(D$2)+D$1, COUNTA(Working!$A$2:INDEX(Working!$A:$A, MATCH("zzz", Working!$A:$A)))) + 1))</f>
        <v/>
      </c>
      <c r="E230" t="str" cm="1">
        <f t="array" ref="E230">IF(Working!$A230="","",INDEX(Working!$A$2:INDEX(Working!$A:$A, MATCH("zzz", Working!$A:$A)), MOD(ROW()-ROW(E$2)+E$1, COUNTA(Working!$A$2:INDEX(Working!$A:$A, MATCH("zzz", Working!$A:$A)))) + 1))</f>
        <v/>
      </c>
      <c r="F230" t="str" cm="1">
        <f t="array" ref="F230">IF(Working!$A230="","",INDEX(Working!$A$2:INDEX(Working!$A:$A, MATCH("zzz", Working!$A:$A)), MOD(ROW()-ROW(F$2)+F$1, COUNTA(Working!$A$2:INDEX(Working!$A:$A, MATCH("zzz", Working!$A:$A)))) + 1))</f>
        <v/>
      </c>
      <c r="G230" t="str" cm="1">
        <f t="array" ref="G230">IF(Working!$A230="","",INDEX(Working!$A$2:INDEX(Working!$A:$A, MATCH("zzz", Working!$A:$A)), MOD(ROW()-ROW(G$2)+G$1, COUNTA(Working!$A$2:INDEX(Working!$A:$A, MATCH("zzz", Working!$A:$A)))) + 1))</f>
        <v/>
      </c>
      <c r="H230" t="str" cm="1">
        <f t="array" ref="H230">IF(Working!$A230="","",INDEX(Working!$A$2:INDEX(Working!$A:$A, MATCH("zzz", Working!$A:$A)), MOD(ROW()-ROW(H$2)+H$1, COUNTA(Working!$A$2:INDEX(Working!$A:$A, MATCH("zzz", Working!$A:$A)))) + 1))</f>
        <v/>
      </c>
      <c r="I230" t="str" cm="1">
        <f t="array" ref="I230">IF(Working!$A230="","",INDEX(Working!$A$2:INDEX(Working!$A:$A, MATCH("zzz", Working!$A:$A)), MOD(ROW()-ROW(I$2)+I$1, COUNTA(Working!$A$2:INDEX(Working!$A:$A, MATCH("zzz", Working!$A:$A)))) + 1))</f>
        <v/>
      </c>
      <c r="J230" t="str" cm="1">
        <f t="array" ref="J230">IF(Working!$A230="","",INDEX(Working!$A$2:INDEX(Working!$A:$A, MATCH("zzz", Working!$A:$A)), MOD(ROW()-ROW(J$2)+J$1, COUNTA(Working!$A$2:INDEX(Working!$A:$A, MATCH("zzz", Working!$A:$A)))) + 1))</f>
        <v/>
      </c>
      <c r="K230" t="str" cm="1">
        <f t="array" ref="K230">IF(Working!$A230="","",INDEX(Working!$A$2:INDEX(Working!$A:$A, MATCH("zzz", Working!$A:$A)), MOD(ROW()-ROW(K$2)+K$1, COUNTA(Working!$A$2:INDEX(Working!$A:$A, MATCH("zzz", Working!$A:$A)))) + 1))</f>
        <v/>
      </c>
      <c r="L230" t="str" cm="1">
        <f t="array" ref="L230">IF(Working!$A230="","",INDEX(Working!$A$2:INDEX(Working!$A:$A, MATCH("zzz", Working!$A:$A)), MOD(ROW()-ROW(L$2)+L$1, COUNTA(Working!$A$2:INDEX(Working!$A:$A, MATCH("zzz", Working!$A:$A)))) + 1))</f>
        <v/>
      </c>
    </row>
    <row r="231" spans="3:12" ht="15.75" customHeight="1" x14ac:dyDescent="0.2">
      <c r="C231" t="str" cm="1">
        <f t="array" ref="C231">IF(Working!$A231="","",INDEX(Working!$A$2:INDEX(Working!$A:$A, MATCH("zzz", Working!$A:$A)), MOD(ROW()-ROW(C$2)+C$1, COUNTA(Working!$A$2:INDEX(Working!$A:$A, MATCH("zzz", Working!$A:$A)))) + 1))</f>
        <v/>
      </c>
      <c r="D231" t="str" cm="1">
        <f t="array" ref="D231">IF(Working!$A231="","",INDEX(Working!$A$2:INDEX(Working!$A:$A, MATCH("zzz", Working!$A:$A)), MOD(ROW()-ROW(D$2)+D$1, COUNTA(Working!$A$2:INDEX(Working!$A:$A, MATCH("zzz", Working!$A:$A)))) + 1))</f>
        <v/>
      </c>
      <c r="E231" t="str" cm="1">
        <f t="array" ref="E231">IF(Working!$A231="","",INDEX(Working!$A$2:INDEX(Working!$A:$A, MATCH("zzz", Working!$A:$A)), MOD(ROW()-ROW(E$2)+E$1, COUNTA(Working!$A$2:INDEX(Working!$A:$A, MATCH("zzz", Working!$A:$A)))) + 1))</f>
        <v/>
      </c>
      <c r="F231" t="str" cm="1">
        <f t="array" ref="F231">IF(Working!$A231="","",INDEX(Working!$A$2:INDEX(Working!$A:$A, MATCH("zzz", Working!$A:$A)), MOD(ROW()-ROW(F$2)+F$1, COUNTA(Working!$A$2:INDEX(Working!$A:$A, MATCH("zzz", Working!$A:$A)))) + 1))</f>
        <v/>
      </c>
      <c r="G231" t="str" cm="1">
        <f t="array" ref="G231">IF(Working!$A231="","",INDEX(Working!$A$2:INDEX(Working!$A:$A, MATCH("zzz", Working!$A:$A)), MOD(ROW()-ROW(G$2)+G$1, COUNTA(Working!$A$2:INDEX(Working!$A:$A, MATCH("zzz", Working!$A:$A)))) + 1))</f>
        <v/>
      </c>
      <c r="H231" t="str" cm="1">
        <f t="array" ref="H231">IF(Working!$A231="","",INDEX(Working!$A$2:INDEX(Working!$A:$A, MATCH("zzz", Working!$A:$A)), MOD(ROW()-ROW(H$2)+H$1, COUNTA(Working!$A$2:INDEX(Working!$A:$A, MATCH("zzz", Working!$A:$A)))) + 1))</f>
        <v/>
      </c>
      <c r="I231" t="str" cm="1">
        <f t="array" ref="I231">IF(Working!$A231="","",INDEX(Working!$A$2:INDEX(Working!$A:$A, MATCH("zzz", Working!$A:$A)), MOD(ROW()-ROW(I$2)+I$1, COUNTA(Working!$A$2:INDEX(Working!$A:$A, MATCH("zzz", Working!$A:$A)))) + 1))</f>
        <v/>
      </c>
      <c r="J231" t="str" cm="1">
        <f t="array" ref="J231">IF(Working!$A231="","",INDEX(Working!$A$2:INDEX(Working!$A:$A, MATCH("zzz", Working!$A:$A)), MOD(ROW()-ROW(J$2)+J$1, COUNTA(Working!$A$2:INDEX(Working!$A:$A, MATCH("zzz", Working!$A:$A)))) + 1))</f>
        <v/>
      </c>
      <c r="K231" t="str" cm="1">
        <f t="array" ref="K231">IF(Working!$A231="","",INDEX(Working!$A$2:INDEX(Working!$A:$A, MATCH("zzz", Working!$A:$A)), MOD(ROW()-ROW(K$2)+K$1, COUNTA(Working!$A$2:INDEX(Working!$A:$A, MATCH("zzz", Working!$A:$A)))) + 1))</f>
        <v/>
      </c>
      <c r="L231" t="str" cm="1">
        <f t="array" ref="L231">IF(Working!$A231="","",INDEX(Working!$A$2:INDEX(Working!$A:$A, MATCH("zzz", Working!$A:$A)), MOD(ROW()-ROW(L$2)+L$1, COUNTA(Working!$A$2:INDEX(Working!$A:$A, MATCH("zzz", Working!$A:$A)))) + 1))</f>
        <v/>
      </c>
    </row>
    <row r="232" spans="3:12" ht="15.75" customHeight="1" x14ac:dyDescent="0.2">
      <c r="C232" t="str" cm="1">
        <f t="array" ref="C232">IF(Working!$A232="","",INDEX(Working!$A$2:INDEX(Working!$A:$A, MATCH("zzz", Working!$A:$A)), MOD(ROW()-ROW(C$2)+C$1, COUNTA(Working!$A$2:INDEX(Working!$A:$A, MATCH("zzz", Working!$A:$A)))) + 1))</f>
        <v/>
      </c>
      <c r="D232" t="str" cm="1">
        <f t="array" ref="D232">IF(Working!$A232="","",INDEX(Working!$A$2:INDEX(Working!$A:$A, MATCH("zzz", Working!$A:$A)), MOD(ROW()-ROW(D$2)+D$1, COUNTA(Working!$A$2:INDEX(Working!$A:$A, MATCH("zzz", Working!$A:$A)))) + 1))</f>
        <v/>
      </c>
      <c r="E232" t="str" cm="1">
        <f t="array" ref="E232">IF(Working!$A232="","",INDEX(Working!$A$2:INDEX(Working!$A:$A, MATCH("zzz", Working!$A:$A)), MOD(ROW()-ROW(E$2)+E$1, COUNTA(Working!$A$2:INDEX(Working!$A:$A, MATCH("zzz", Working!$A:$A)))) + 1))</f>
        <v/>
      </c>
      <c r="F232" t="str" cm="1">
        <f t="array" ref="F232">IF(Working!$A232="","",INDEX(Working!$A$2:INDEX(Working!$A:$A, MATCH("zzz", Working!$A:$A)), MOD(ROW()-ROW(F$2)+F$1, COUNTA(Working!$A$2:INDEX(Working!$A:$A, MATCH("zzz", Working!$A:$A)))) + 1))</f>
        <v/>
      </c>
      <c r="G232" t="str" cm="1">
        <f t="array" ref="G232">IF(Working!$A232="","",INDEX(Working!$A$2:INDEX(Working!$A:$A, MATCH("zzz", Working!$A:$A)), MOD(ROW()-ROW(G$2)+G$1, COUNTA(Working!$A$2:INDEX(Working!$A:$A, MATCH("zzz", Working!$A:$A)))) + 1))</f>
        <v/>
      </c>
      <c r="H232" t="str" cm="1">
        <f t="array" ref="H232">IF(Working!$A232="","",INDEX(Working!$A$2:INDEX(Working!$A:$A, MATCH("zzz", Working!$A:$A)), MOD(ROW()-ROW(H$2)+H$1, COUNTA(Working!$A$2:INDEX(Working!$A:$A, MATCH("zzz", Working!$A:$A)))) + 1))</f>
        <v/>
      </c>
      <c r="I232" t="str" cm="1">
        <f t="array" ref="I232">IF(Working!$A232="","",INDEX(Working!$A$2:INDEX(Working!$A:$A, MATCH("zzz", Working!$A:$A)), MOD(ROW()-ROW(I$2)+I$1, COUNTA(Working!$A$2:INDEX(Working!$A:$A, MATCH("zzz", Working!$A:$A)))) + 1))</f>
        <v/>
      </c>
      <c r="J232" t="str" cm="1">
        <f t="array" ref="J232">IF(Working!$A232="","",INDEX(Working!$A$2:INDEX(Working!$A:$A, MATCH("zzz", Working!$A:$A)), MOD(ROW()-ROW(J$2)+J$1, COUNTA(Working!$A$2:INDEX(Working!$A:$A, MATCH("zzz", Working!$A:$A)))) + 1))</f>
        <v/>
      </c>
      <c r="K232" t="str" cm="1">
        <f t="array" ref="K232">IF(Working!$A232="","",INDEX(Working!$A$2:INDEX(Working!$A:$A, MATCH("zzz", Working!$A:$A)), MOD(ROW()-ROW(K$2)+K$1, COUNTA(Working!$A$2:INDEX(Working!$A:$A, MATCH("zzz", Working!$A:$A)))) + 1))</f>
        <v/>
      </c>
      <c r="L232" t="str" cm="1">
        <f t="array" ref="L232">IF(Working!$A232="","",INDEX(Working!$A$2:INDEX(Working!$A:$A, MATCH("zzz", Working!$A:$A)), MOD(ROW()-ROW(L$2)+L$1, COUNTA(Working!$A$2:INDEX(Working!$A:$A, MATCH("zzz", Working!$A:$A)))) + 1))</f>
        <v/>
      </c>
    </row>
    <row r="233" spans="3:12" ht="15.75" customHeight="1" x14ac:dyDescent="0.2">
      <c r="C233" t="str" cm="1">
        <f t="array" ref="C233">IF(Working!$A233="","",INDEX(Working!$A$2:INDEX(Working!$A:$A, MATCH("zzz", Working!$A:$A)), MOD(ROW()-ROW(C$2)+C$1, COUNTA(Working!$A$2:INDEX(Working!$A:$A, MATCH("zzz", Working!$A:$A)))) + 1))</f>
        <v/>
      </c>
      <c r="D233" t="str" cm="1">
        <f t="array" ref="D233">IF(Working!$A233="","",INDEX(Working!$A$2:INDEX(Working!$A:$A, MATCH("zzz", Working!$A:$A)), MOD(ROW()-ROW(D$2)+D$1, COUNTA(Working!$A$2:INDEX(Working!$A:$A, MATCH("zzz", Working!$A:$A)))) + 1))</f>
        <v/>
      </c>
      <c r="E233" t="str" cm="1">
        <f t="array" ref="E233">IF(Working!$A233="","",INDEX(Working!$A$2:INDEX(Working!$A:$A, MATCH("zzz", Working!$A:$A)), MOD(ROW()-ROW(E$2)+E$1, COUNTA(Working!$A$2:INDEX(Working!$A:$A, MATCH("zzz", Working!$A:$A)))) + 1))</f>
        <v/>
      </c>
      <c r="F233" t="str" cm="1">
        <f t="array" ref="F233">IF(Working!$A233="","",INDEX(Working!$A$2:INDEX(Working!$A:$A, MATCH("zzz", Working!$A:$A)), MOD(ROW()-ROW(F$2)+F$1, COUNTA(Working!$A$2:INDEX(Working!$A:$A, MATCH("zzz", Working!$A:$A)))) + 1))</f>
        <v/>
      </c>
      <c r="G233" t="str" cm="1">
        <f t="array" ref="G233">IF(Working!$A233="","",INDEX(Working!$A$2:INDEX(Working!$A:$A, MATCH("zzz", Working!$A:$A)), MOD(ROW()-ROW(G$2)+G$1, COUNTA(Working!$A$2:INDEX(Working!$A:$A, MATCH("zzz", Working!$A:$A)))) + 1))</f>
        <v/>
      </c>
      <c r="H233" t="str" cm="1">
        <f t="array" ref="H233">IF(Working!$A233="","",INDEX(Working!$A$2:INDEX(Working!$A:$A, MATCH("zzz", Working!$A:$A)), MOD(ROW()-ROW(H$2)+H$1, COUNTA(Working!$A$2:INDEX(Working!$A:$A, MATCH("zzz", Working!$A:$A)))) + 1))</f>
        <v/>
      </c>
      <c r="I233" t="str" cm="1">
        <f t="array" ref="I233">IF(Working!$A233="","",INDEX(Working!$A$2:INDEX(Working!$A:$A, MATCH("zzz", Working!$A:$A)), MOD(ROW()-ROW(I$2)+I$1, COUNTA(Working!$A$2:INDEX(Working!$A:$A, MATCH("zzz", Working!$A:$A)))) + 1))</f>
        <v/>
      </c>
      <c r="J233" t="str" cm="1">
        <f t="array" ref="J233">IF(Working!$A233="","",INDEX(Working!$A$2:INDEX(Working!$A:$A, MATCH("zzz", Working!$A:$A)), MOD(ROW()-ROW(J$2)+J$1, COUNTA(Working!$A$2:INDEX(Working!$A:$A, MATCH("zzz", Working!$A:$A)))) + 1))</f>
        <v/>
      </c>
      <c r="K233" t="str" cm="1">
        <f t="array" ref="K233">IF(Working!$A233="","",INDEX(Working!$A$2:INDEX(Working!$A:$A, MATCH("zzz", Working!$A:$A)), MOD(ROW()-ROW(K$2)+K$1, COUNTA(Working!$A$2:INDEX(Working!$A:$A, MATCH("zzz", Working!$A:$A)))) + 1))</f>
        <v/>
      </c>
      <c r="L233" t="str" cm="1">
        <f t="array" ref="L233">IF(Working!$A233="","",INDEX(Working!$A$2:INDEX(Working!$A:$A, MATCH("zzz", Working!$A:$A)), MOD(ROW()-ROW(L$2)+L$1, COUNTA(Working!$A$2:INDEX(Working!$A:$A, MATCH("zzz", Working!$A:$A)))) + 1))</f>
        <v/>
      </c>
    </row>
    <row r="234" spans="3:12" ht="15.75" customHeight="1" x14ac:dyDescent="0.2">
      <c r="C234" t="str" cm="1">
        <f t="array" ref="C234">IF(Working!$A234="","",INDEX(Working!$A$2:INDEX(Working!$A:$A, MATCH("zzz", Working!$A:$A)), MOD(ROW()-ROW(C$2)+C$1, COUNTA(Working!$A$2:INDEX(Working!$A:$A, MATCH("zzz", Working!$A:$A)))) + 1))</f>
        <v/>
      </c>
      <c r="D234" t="str" cm="1">
        <f t="array" ref="D234">IF(Working!$A234="","",INDEX(Working!$A$2:INDEX(Working!$A:$A, MATCH("zzz", Working!$A:$A)), MOD(ROW()-ROW(D$2)+D$1, COUNTA(Working!$A$2:INDEX(Working!$A:$A, MATCH("zzz", Working!$A:$A)))) + 1))</f>
        <v/>
      </c>
      <c r="E234" t="str" cm="1">
        <f t="array" ref="E234">IF(Working!$A234="","",INDEX(Working!$A$2:INDEX(Working!$A:$A, MATCH("zzz", Working!$A:$A)), MOD(ROW()-ROW(E$2)+E$1, COUNTA(Working!$A$2:INDEX(Working!$A:$A, MATCH("zzz", Working!$A:$A)))) + 1))</f>
        <v/>
      </c>
      <c r="F234" t="str" cm="1">
        <f t="array" ref="F234">IF(Working!$A234="","",INDEX(Working!$A$2:INDEX(Working!$A:$A, MATCH("zzz", Working!$A:$A)), MOD(ROW()-ROW(F$2)+F$1, COUNTA(Working!$A$2:INDEX(Working!$A:$A, MATCH("zzz", Working!$A:$A)))) + 1))</f>
        <v/>
      </c>
      <c r="G234" t="str" cm="1">
        <f t="array" ref="G234">IF(Working!$A234="","",INDEX(Working!$A$2:INDEX(Working!$A:$A, MATCH("zzz", Working!$A:$A)), MOD(ROW()-ROW(G$2)+G$1, COUNTA(Working!$A$2:INDEX(Working!$A:$A, MATCH("zzz", Working!$A:$A)))) + 1))</f>
        <v/>
      </c>
      <c r="H234" t="str" cm="1">
        <f t="array" ref="H234">IF(Working!$A234="","",INDEX(Working!$A$2:INDEX(Working!$A:$A, MATCH("zzz", Working!$A:$A)), MOD(ROW()-ROW(H$2)+H$1, COUNTA(Working!$A$2:INDEX(Working!$A:$A, MATCH("zzz", Working!$A:$A)))) + 1))</f>
        <v/>
      </c>
      <c r="I234" t="str" cm="1">
        <f t="array" ref="I234">IF(Working!$A234="","",INDEX(Working!$A$2:INDEX(Working!$A:$A, MATCH("zzz", Working!$A:$A)), MOD(ROW()-ROW(I$2)+I$1, COUNTA(Working!$A$2:INDEX(Working!$A:$A, MATCH("zzz", Working!$A:$A)))) + 1))</f>
        <v/>
      </c>
      <c r="J234" t="str" cm="1">
        <f t="array" ref="J234">IF(Working!$A234="","",INDEX(Working!$A$2:INDEX(Working!$A:$A, MATCH("zzz", Working!$A:$A)), MOD(ROW()-ROW(J$2)+J$1, COUNTA(Working!$A$2:INDEX(Working!$A:$A, MATCH("zzz", Working!$A:$A)))) + 1))</f>
        <v/>
      </c>
      <c r="K234" t="str" cm="1">
        <f t="array" ref="K234">IF(Working!$A234="","",INDEX(Working!$A$2:INDEX(Working!$A:$A, MATCH("zzz", Working!$A:$A)), MOD(ROW()-ROW(K$2)+K$1, COUNTA(Working!$A$2:INDEX(Working!$A:$A, MATCH("zzz", Working!$A:$A)))) + 1))</f>
        <v/>
      </c>
      <c r="L234" t="str" cm="1">
        <f t="array" ref="L234">IF(Working!$A234="","",INDEX(Working!$A$2:INDEX(Working!$A:$A, MATCH("zzz", Working!$A:$A)), MOD(ROW()-ROW(L$2)+L$1, COUNTA(Working!$A$2:INDEX(Working!$A:$A, MATCH("zzz", Working!$A:$A)))) + 1))</f>
        <v/>
      </c>
    </row>
    <row r="235" spans="3:12" ht="15.75" customHeight="1" x14ac:dyDescent="0.2">
      <c r="C235" t="str" cm="1">
        <f t="array" ref="C235">IF(Working!$A235="","",INDEX(Working!$A$2:INDEX(Working!$A:$A, MATCH("zzz", Working!$A:$A)), MOD(ROW()-ROW(C$2)+C$1, COUNTA(Working!$A$2:INDEX(Working!$A:$A, MATCH("zzz", Working!$A:$A)))) + 1))</f>
        <v/>
      </c>
      <c r="D235" t="str" cm="1">
        <f t="array" ref="D235">IF(Working!$A235="","",INDEX(Working!$A$2:INDEX(Working!$A:$A, MATCH("zzz", Working!$A:$A)), MOD(ROW()-ROW(D$2)+D$1, COUNTA(Working!$A$2:INDEX(Working!$A:$A, MATCH("zzz", Working!$A:$A)))) + 1))</f>
        <v/>
      </c>
      <c r="E235" t="str" cm="1">
        <f t="array" ref="E235">IF(Working!$A235="","",INDEX(Working!$A$2:INDEX(Working!$A:$A, MATCH("zzz", Working!$A:$A)), MOD(ROW()-ROW(E$2)+E$1, COUNTA(Working!$A$2:INDEX(Working!$A:$A, MATCH("zzz", Working!$A:$A)))) + 1))</f>
        <v/>
      </c>
      <c r="F235" t="str" cm="1">
        <f t="array" ref="F235">IF(Working!$A235="","",INDEX(Working!$A$2:INDEX(Working!$A:$A, MATCH("zzz", Working!$A:$A)), MOD(ROW()-ROW(F$2)+F$1, COUNTA(Working!$A$2:INDEX(Working!$A:$A, MATCH("zzz", Working!$A:$A)))) + 1))</f>
        <v/>
      </c>
      <c r="G235" t="str" cm="1">
        <f t="array" ref="G235">IF(Working!$A235="","",INDEX(Working!$A$2:INDEX(Working!$A:$A, MATCH("zzz", Working!$A:$A)), MOD(ROW()-ROW(G$2)+G$1, COUNTA(Working!$A$2:INDEX(Working!$A:$A, MATCH("zzz", Working!$A:$A)))) + 1))</f>
        <v/>
      </c>
      <c r="H235" t="str" cm="1">
        <f t="array" ref="H235">IF(Working!$A235="","",INDEX(Working!$A$2:INDEX(Working!$A:$A, MATCH("zzz", Working!$A:$A)), MOD(ROW()-ROW(H$2)+H$1, COUNTA(Working!$A$2:INDEX(Working!$A:$A, MATCH("zzz", Working!$A:$A)))) + 1))</f>
        <v/>
      </c>
      <c r="I235" t="str" cm="1">
        <f t="array" ref="I235">IF(Working!$A235="","",INDEX(Working!$A$2:INDEX(Working!$A:$A, MATCH("zzz", Working!$A:$A)), MOD(ROW()-ROW(I$2)+I$1, COUNTA(Working!$A$2:INDEX(Working!$A:$A, MATCH("zzz", Working!$A:$A)))) + 1))</f>
        <v/>
      </c>
      <c r="J235" t="str" cm="1">
        <f t="array" ref="J235">IF(Working!$A235="","",INDEX(Working!$A$2:INDEX(Working!$A:$A, MATCH("zzz", Working!$A:$A)), MOD(ROW()-ROW(J$2)+J$1, COUNTA(Working!$A$2:INDEX(Working!$A:$A, MATCH("zzz", Working!$A:$A)))) + 1))</f>
        <v/>
      </c>
      <c r="K235" t="str" cm="1">
        <f t="array" ref="K235">IF(Working!$A235="","",INDEX(Working!$A$2:INDEX(Working!$A:$A, MATCH("zzz", Working!$A:$A)), MOD(ROW()-ROW(K$2)+K$1, COUNTA(Working!$A$2:INDEX(Working!$A:$A, MATCH("zzz", Working!$A:$A)))) + 1))</f>
        <v/>
      </c>
      <c r="L235" t="str" cm="1">
        <f t="array" ref="L235">IF(Working!$A235="","",INDEX(Working!$A$2:INDEX(Working!$A:$A, MATCH("zzz", Working!$A:$A)), MOD(ROW()-ROW(L$2)+L$1, COUNTA(Working!$A$2:INDEX(Working!$A:$A, MATCH("zzz", Working!$A:$A)))) + 1))</f>
        <v/>
      </c>
    </row>
    <row r="236" spans="3:12" ht="15.75" customHeight="1" x14ac:dyDescent="0.2">
      <c r="C236" t="str" cm="1">
        <f t="array" ref="C236">IF(Working!$A236="","",INDEX(Working!$A$2:INDEX(Working!$A:$A, MATCH("zzz", Working!$A:$A)), MOD(ROW()-ROW(C$2)+C$1, COUNTA(Working!$A$2:INDEX(Working!$A:$A, MATCH("zzz", Working!$A:$A)))) + 1))</f>
        <v/>
      </c>
      <c r="D236" t="str" cm="1">
        <f t="array" ref="D236">IF(Working!$A236="","",INDEX(Working!$A$2:INDEX(Working!$A:$A, MATCH("zzz", Working!$A:$A)), MOD(ROW()-ROW(D$2)+D$1, COUNTA(Working!$A$2:INDEX(Working!$A:$A, MATCH("zzz", Working!$A:$A)))) + 1))</f>
        <v/>
      </c>
      <c r="E236" t="str" cm="1">
        <f t="array" ref="E236">IF(Working!$A236="","",INDEX(Working!$A$2:INDEX(Working!$A:$A, MATCH("zzz", Working!$A:$A)), MOD(ROW()-ROW(E$2)+E$1, COUNTA(Working!$A$2:INDEX(Working!$A:$A, MATCH("zzz", Working!$A:$A)))) + 1))</f>
        <v/>
      </c>
      <c r="F236" t="str" cm="1">
        <f t="array" ref="F236">IF(Working!$A236="","",INDEX(Working!$A$2:INDEX(Working!$A:$A, MATCH("zzz", Working!$A:$A)), MOD(ROW()-ROW(F$2)+F$1, COUNTA(Working!$A$2:INDEX(Working!$A:$A, MATCH("zzz", Working!$A:$A)))) + 1))</f>
        <v/>
      </c>
      <c r="G236" t="str" cm="1">
        <f t="array" ref="G236">IF(Working!$A236="","",INDEX(Working!$A$2:INDEX(Working!$A:$A, MATCH("zzz", Working!$A:$A)), MOD(ROW()-ROW(G$2)+G$1, COUNTA(Working!$A$2:INDEX(Working!$A:$A, MATCH("zzz", Working!$A:$A)))) + 1))</f>
        <v/>
      </c>
      <c r="H236" t="str" cm="1">
        <f t="array" ref="H236">IF(Working!$A236="","",INDEX(Working!$A$2:INDEX(Working!$A:$A, MATCH("zzz", Working!$A:$A)), MOD(ROW()-ROW(H$2)+H$1, COUNTA(Working!$A$2:INDEX(Working!$A:$A, MATCH("zzz", Working!$A:$A)))) + 1))</f>
        <v/>
      </c>
      <c r="I236" t="str" cm="1">
        <f t="array" ref="I236">IF(Working!$A236="","",INDEX(Working!$A$2:INDEX(Working!$A:$A, MATCH("zzz", Working!$A:$A)), MOD(ROW()-ROW(I$2)+I$1, COUNTA(Working!$A$2:INDEX(Working!$A:$A, MATCH("zzz", Working!$A:$A)))) + 1))</f>
        <v/>
      </c>
      <c r="J236" t="str" cm="1">
        <f t="array" ref="J236">IF(Working!$A236="","",INDEX(Working!$A$2:INDEX(Working!$A:$A, MATCH("zzz", Working!$A:$A)), MOD(ROW()-ROW(J$2)+J$1, COUNTA(Working!$A$2:INDEX(Working!$A:$A, MATCH("zzz", Working!$A:$A)))) + 1))</f>
        <v/>
      </c>
      <c r="K236" t="str" cm="1">
        <f t="array" ref="K236">IF(Working!$A236="","",INDEX(Working!$A$2:INDEX(Working!$A:$A, MATCH("zzz", Working!$A:$A)), MOD(ROW()-ROW(K$2)+K$1, COUNTA(Working!$A$2:INDEX(Working!$A:$A, MATCH("zzz", Working!$A:$A)))) + 1))</f>
        <v/>
      </c>
      <c r="L236" t="str" cm="1">
        <f t="array" ref="L236">IF(Working!$A236="","",INDEX(Working!$A$2:INDEX(Working!$A:$A, MATCH("zzz", Working!$A:$A)), MOD(ROW()-ROW(L$2)+L$1, COUNTA(Working!$A$2:INDEX(Working!$A:$A, MATCH("zzz", Working!$A:$A)))) + 1))</f>
        <v/>
      </c>
    </row>
    <row r="237" spans="3:12" ht="15.75" customHeight="1" x14ac:dyDescent="0.2">
      <c r="C237" t="str" cm="1">
        <f t="array" ref="C237">IF(Working!$A237="","",INDEX(Working!$A$2:INDEX(Working!$A:$A, MATCH("zzz", Working!$A:$A)), MOD(ROW()-ROW(C$2)+C$1, COUNTA(Working!$A$2:INDEX(Working!$A:$A, MATCH("zzz", Working!$A:$A)))) + 1))</f>
        <v/>
      </c>
      <c r="D237" t="str" cm="1">
        <f t="array" ref="D237">IF(Working!$A237="","",INDEX(Working!$A$2:INDEX(Working!$A:$A, MATCH("zzz", Working!$A:$A)), MOD(ROW()-ROW(D$2)+D$1, COUNTA(Working!$A$2:INDEX(Working!$A:$A, MATCH("zzz", Working!$A:$A)))) + 1))</f>
        <v/>
      </c>
      <c r="E237" t="str" cm="1">
        <f t="array" ref="E237">IF(Working!$A237="","",INDEX(Working!$A$2:INDEX(Working!$A:$A, MATCH("zzz", Working!$A:$A)), MOD(ROW()-ROW(E$2)+E$1, COUNTA(Working!$A$2:INDEX(Working!$A:$A, MATCH("zzz", Working!$A:$A)))) + 1))</f>
        <v/>
      </c>
      <c r="F237" t="str" cm="1">
        <f t="array" ref="F237">IF(Working!$A237="","",INDEX(Working!$A$2:INDEX(Working!$A:$A, MATCH("zzz", Working!$A:$A)), MOD(ROW()-ROW(F$2)+F$1, COUNTA(Working!$A$2:INDEX(Working!$A:$A, MATCH("zzz", Working!$A:$A)))) + 1))</f>
        <v/>
      </c>
      <c r="G237" t="str" cm="1">
        <f t="array" ref="G237">IF(Working!$A237="","",INDEX(Working!$A$2:INDEX(Working!$A:$A, MATCH("zzz", Working!$A:$A)), MOD(ROW()-ROW(G$2)+G$1, COUNTA(Working!$A$2:INDEX(Working!$A:$A, MATCH("zzz", Working!$A:$A)))) + 1))</f>
        <v/>
      </c>
      <c r="H237" t="str" cm="1">
        <f t="array" ref="H237">IF(Working!$A237="","",INDEX(Working!$A$2:INDEX(Working!$A:$A, MATCH("zzz", Working!$A:$A)), MOD(ROW()-ROW(H$2)+H$1, COUNTA(Working!$A$2:INDEX(Working!$A:$A, MATCH("zzz", Working!$A:$A)))) + 1))</f>
        <v/>
      </c>
      <c r="I237" t="str" cm="1">
        <f t="array" ref="I237">IF(Working!$A237="","",INDEX(Working!$A$2:INDEX(Working!$A:$A, MATCH("zzz", Working!$A:$A)), MOD(ROW()-ROW(I$2)+I$1, COUNTA(Working!$A$2:INDEX(Working!$A:$A, MATCH("zzz", Working!$A:$A)))) + 1))</f>
        <v/>
      </c>
      <c r="J237" t="str" cm="1">
        <f t="array" ref="J237">IF(Working!$A237="","",INDEX(Working!$A$2:INDEX(Working!$A:$A, MATCH("zzz", Working!$A:$A)), MOD(ROW()-ROW(J$2)+J$1, COUNTA(Working!$A$2:INDEX(Working!$A:$A, MATCH("zzz", Working!$A:$A)))) + 1))</f>
        <v/>
      </c>
      <c r="K237" t="str" cm="1">
        <f t="array" ref="K237">IF(Working!$A237="","",INDEX(Working!$A$2:INDEX(Working!$A:$A, MATCH("zzz", Working!$A:$A)), MOD(ROW()-ROW(K$2)+K$1, COUNTA(Working!$A$2:INDEX(Working!$A:$A, MATCH("zzz", Working!$A:$A)))) + 1))</f>
        <v/>
      </c>
      <c r="L237" t="str" cm="1">
        <f t="array" ref="L237">IF(Working!$A237="","",INDEX(Working!$A$2:INDEX(Working!$A:$A, MATCH("zzz", Working!$A:$A)), MOD(ROW()-ROW(L$2)+L$1, COUNTA(Working!$A$2:INDEX(Working!$A:$A, MATCH("zzz", Working!$A:$A)))) + 1))</f>
        <v/>
      </c>
    </row>
    <row r="238" spans="3:12" ht="15.75" customHeight="1" x14ac:dyDescent="0.2">
      <c r="C238" t="str" cm="1">
        <f t="array" ref="C238">IF(Working!$A238="","",INDEX(Working!$A$2:INDEX(Working!$A:$A, MATCH("zzz", Working!$A:$A)), MOD(ROW()-ROW(C$2)+C$1, COUNTA(Working!$A$2:INDEX(Working!$A:$A, MATCH("zzz", Working!$A:$A)))) + 1))</f>
        <v/>
      </c>
      <c r="D238" t="str" cm="1">
        <f t="array" ref="D238">IF(Working!$A238="","",INDEX(Working!$A$2:INDEX(Working!$A:$A, MATCH("zzz", Working!$A:$A)), MOD(ROW()-ROW(D$2)+D$1, COUNTA(Working!$A$2:INDEX(Working!$A:$A, MATCH("zzz", Working!$A:$A)))) + 1))</f>
        <v/>
      </c>
      <c r="E238" t="str" cm="1">
        <f t="array" ref="E238">IF(Working!$A238="","",INDEX(Working!$A$2:INDEX(Working!$A:$A, MATCH("zzz", Working!$A:$A)), MOD(ROW()-ROW(E$2)+E$1, COUNTA(Working!$A$2:INDEX(Working!$A:$A, MATCH("zzz", Working!$A:$A)))) + 1))</f>
        <v/>
      </c>
      <c r="F238" t="str" cm="1">
        <f t="array" ref="F238">IF(Working!$A238="","",INDEX(Working!$A$2:INDEX(Working!$A:$A, MATCH("zzz", Working!$A:$A)), MOD(ROW()-ROW(F$2)+F$1, COUNTA(Working!$A$2:INDEX(Working!$A:$A, MATCH("zzz", Working!$A:$A)))) + 1))</f>
        <v/>
      </c>
      <c r="G238" t="str" cm="1">
        <f t="array" ref="G238">IF(Working!$A238="","",INDEX(Working!$A$2:INDEX(Working!$A:$A, MATCH("zzz", Working!$A:$A)), MOD(ROW()-ROW(G$2)+G$1, COUNTA(Working!$A$2:INDEX(Working!$A:$A, MATCH("zzz", Working!$A:$A)))) + 1))</f>
        <v/>
      </c>
      <c r="H238" t="str" cm="1">
        <f t="array" ref="H238">IF(Working!$A238="","",INDEX(Working!$A$2:INDEX(Working!$A:$A, MATCH("zzz", Working!$A:$A)), MOD(ROW()-ROW(H$2)+H$1, COUNTA(Working!$A$2:INDEX(Working!$A:$A, MATCH("zzz", Working!$A:$A)))) + 1))</f>
        <v/>
      </c>
      <c r="I238" t="str" cm="1">
        <f t="array" ref="I238">IF(Working!$A238="","",INDEX(Working!$A$2:INDEX(Working!$A:$A, MATCH("zzz", Working!$A:$A)), MOD(ROW()-ROW(I$2)+I$1, COUNTA(Working!$A$2:INDEX(Working!$A:$A, MATCH("zzz", Working!$A:$A)))) + 1))</f>
        <v/>
      </c>
      <c r="J238" t="str" cm="1">
        <f t="array" ref="J238">IF(Working!$A238="","",INDEX(Working!$A$2:INDEX(Working!$A:$A, MATCH("zzz", Working!$A:$A)), MOD(ROW()-ROW(J$2)+J$1, COUNTA(Working!$A$2:INDEX(Working!$A:$A, MATCH("zzz", Working!$A:$A)))) + 1))</f>
        <v/>
      </c>
      <c r="K238" t="str" cm="1">
        <f t="array" ref="K238">IF(Working!$A238="","",INDEX(Working!$A$2:INDEX(Working!$A:$A, MATCH("zzz", Working!$A:$A)), MOD(ROW()-ROW(K$2)+K$1, COUNTA(Working!$A$2:INDEX(Working!$A:$A, MATCH("zzz", Working!$A:$A)))) + 1))</f>
        <v/>
      </c>
      <c r="L238" t="str" cm="1">
        <f t="array" ref="L238">IF(Working!$A238="","",INDEX(Working!$A$2:INDEX(Working!$A:$A, MATCH("zzz", Working!$A:$A)), MOD(ROW()-ROW(L$2)+L$1, COUNTA(Working!$A$2:INDEX(Working!$A:$A, MATCH("zzz", Working!$A:$A)))) + 1))</f>
        <v/>
      </c>
    </row>
    <row r="239" spans="3:12" ht="15.75" customHeight="1" x14ac:dyDescent="0.2">
      <c r="C239" t="str" cm="1">
        <f t="array" ref="C239">IF(Working!$A239="","",INDEX(Working!$A$2:INDEX(Working!$A:$A, MATCH("zzz", Working!$A:$A)), MOD(ROW()-ROW(C$2)+C$1, COUNTA(Working!$A$2:INDEX(Working!$A:$A, MATCH("zzz", Working!$A:$A)))) + 1))</f>
        <v/>
      </c>
      <c r="D239" t="str" cm="1">
        <f t="array" ref="D239">IF(Working!$A239="","",INDEX(Working!$A$2:INDEX(Working!$A:$A, MATCH("zzz", Working!$A:$A)), MOD(ROW()-ROW(D$2)+D$1, COUNTA(Working!$A$2:INDEX(Working!$A:$A, MATCH("zzz", Working!$A:$A)))) + 1))</f>
        <v/>
      </c>
      <c r="E239" t="str" cm="1">
        <f t="array" ref="E239">IF(Working!$A239="","",INDEX(Working!$A$2:INDEX(Working!$A:$A, MATCH("zzz", Working!$A:$A)), MOD(ROW()-ROW(E$2)+E$1, COUNTA(Working!$A$2:INDEX(Working!$A:$A, MATCH("zzz", Working!$A:$A)))) + 1))</f>
        <v/>
      </c>
      <c r="F239" t="str" cm="1">
        <f t="array" ref="F239">IF(Working!$A239="","",INDEX(Working!$A$2:INDEX(Working!$A:$A, MATCH("zzz", Working!$A:$A)), MOD(ROW()-ROW(F$2)+F$1, COUNTA(Working!$A$2:INDEX(Working!$A:$A, MATCH("zzz", Working!$A:$A)))) + 1))</f>
        <v/>
      </c>
      <c r="G239" t="str" cm="1">
        <f t="array" ref="G239">IF(Working!$A239="","",INDEX(Working!$A$2:INDEX(Working!$A:$A, MATCH("zzz", Working!$A:$A)), MOD(ROW()-ROW(G$2)+G$1, COUNTA(Working!$A$2:INDEX(Working!$A:$A, MATCH("zzz", Working!$A:$A)))) + 1))</f>
        <v/>
      </c>
      <c r="H239" t="str" cm="1">
        <f t="array" ref="H239">IF(Working!$A239="","",INDEX(Working!$A$2:INDEX(Working!$A:$A, MATCH("zzz", Working!$A:$A)), MOD(ROW()-ROW(H$2)+H$1, COUNTA(Working!$A$2:INDEX(Working!$A:$A, MATCH("zzz", Working!$A:$A)))) + 1))</f>
        <v/>
      </c>
      <c r="I239" t="str" cm="1">
        <f t="array" ref="I239">IF(Working!$A239="","",INDEX(Working!$A$2:INDEX(Working!$A:$A, MATCH("zzz", Working!$A:$A)), MOD(ROW()-ROW(I$2)+I$1, COUNTA(Working!$A$2:INDEX(Working!$A:$A, MATCH("zzz", Working!$A:$A)))) + 1))</f>
        <v/>
      </c>
      <c r="J239" t="str" cm="1">
        <f t="array" ref="J239">IF(Working!$A239="","",INDEX(Working!$A$2:INDEX(Working!$A:$A, MATCH("zzz", Working!$A:$A)), MOD(ROW()-ROW(J$2)+J$1, COUNTA(Working!$A$2:INDEX(Working!$A:$A, MATCH("zzz", Working!$A:$A)))) + 1))</f>
        <v/>
      </c>
      <c r="K239" t="str" cm="1">
        <f t="array" ref="K239">IF(Working!$A239="","",INDEX(Working!$A$2:INDEX(Working!$A:$A, MATCH("zzz", Working!$A:$A)), MOD(ROW()-ROW(K$2)+K$1, COUNTA(Working!$A$2:INDEX(Working!$A:$A, MATCH("zzz", Working!$A:$A)))) + 1))</f>
        <v/>
      </c>
      <c r="L239" t="str" cm="1">
        <f t="array" ref="L239">IF(Working!$A239="","",INDEX(Working!$A$2:INDEX(Working!$A:$A, MATCH("zzz", Working!$A:$A)), MOD(ROW()-ROW(L$2)+L$1, COUNTA(Working!$A$2:INDEX(Working!$A:$A, MATCH("zzz", Working!$A:$A)))) + 1))</f>
        <v/>
      </c>
    </row>
    <row r="240" spans="3:12" ht="15.75" customHeight="1" x14ac:dyDescent="0.2">
      <c r="C240" t="str" cm="1">
        <f t="array" ref="C240">IF(Working!$A240="","",INDEX(Working!$A$2:INDEX(Working!$A:$A, MATCH("zzz", Working!$A:$A)), MOD(ROW()-ROW(C$2)+C$1, COUNTA(Working!$A$2:INDEX(Working!$A:$A, MATCH("zzz", Working!$A:$A)))) + 1))</f>
        <v/>
      </c>
      <c r="D240" t="str" cm="1">
        <f t="array" ref="D240">IF(Working!$A240="","",INDEX(Working!$A$2:INDEX(Working!$A:$A, MATCH("zzz", Working!$A:$A)), MOD(ROW()-ROW(D$2)+D$1, COUNTA(Working!$A$2:INDEX(Working!$A:$A, MATCH("zzz", Working!$A:$A)))) + 1))</f>
        <v/>
      </c>
      <c r="E240" t="str" cm="1">
        <f t="array" ref="E240">IF(Working!$A240="","",INDEX(Working!$A$2:INDEX(Working!$A:$A, MATCH("zzz", Working!$A:$A)), MOD(ROW()-ROW(E$2)+E$1, COUNTA(Working!$A$2:INDEX(Working!$A:$A, MATCH("zzz", Working!$A:$A)))) + 1))</f>
        <v/>
      </c>
      <c r="F240" t="str" cm="1">
        <f t="array" ref="F240">IF(Working!$A240="","",INDEX(Working!$A$2:INDEX(Working!$A:$A, MATCH("zzz", Working!$A:$A)), MOD(ROW()-ROW(F$2)+F$1, COUNTA(Working!$A$2:INDEX(Working!$A:$A, MATCH("zzz", Working!$A:$A)))) + 1))</f>
        <v/>
      </c>
      <c r="G240" t="str" cm="1">
        <f t="array" ref="G240">IF(Working!$A240="","",INDEX(Working!$A$2:INDEX(Working!$A:$A, MATCH("zzz", Working!$A:$A)), MOD(ROW()-ROW(G$2)+G$1, COUNTA(Working!$A$2:INDEX(Working!$A:$A, MATCH("zzz", Working!$A:$A)))) + 1))</f>
        <v/>
      </c>
      <c r="H240" t="str" cm="1">
        <f t="array" ref="H240">IF(Working!$A240="","",INDEX(Working!$A$2:INDEX(Working!$A:$A, MATCH("zzz", Working!$A:$A)), MOD(ROW()-ROW(H$2)+H$1, COUNTA(Working!$A$2:INDEX(Working!$A:$A, MATCH("zzz", Working!$A:$A)))) + 1))</f>
        <v/>
      </c>
      <c r="I240" t="str" cm="1">
        <f t="array" ref="I240">IF(Working!$A240="","",INDEX(Working!$A$2:INDEX(Working!$A:$A, MATCH("zzz", Working!$A:$A)), MOD(ROW()-ROW(I$2)+I$1, COUNTA(Working!$A$2:INDEX(Working!$A:$A, MATCH("zzz", Working!$A:$A)))) + 1))</f>
        <v/>
      </c>
      <c r="J240" t="str" cm="1">
        <f t="array" ref="J240">IF(Working!$A240="","",INDEX(Working!$A$2:INDEX(Working!$A:$A, MATCH("zzz", Working!$A:$A)), MOD(ROW()-ROW(J$2)+J$1, COUNTA(Working!$A$2:INDEX(Working!$A:$A, MATCH("zzz", Working!$A:$A)))) + 1))</f>
        <v/>
      </c>
      <c r="K240" t="str" cm="1">
        <f t="array" ref="K240">IF(Working!$A240="","",INDEX(Working!$A$2:INDEX(Working!$A:$A, MATCH("zzz", Working!$A:$A)), MOD(ROW()-ROW(K$2)+K$1, COUNTA(Working!$A$2:INDEX(Working!$A:$A, MATCH("zzz", Working!$A:$A)))) + 1))</f>
        <v/>
      </c>
      <c r="L240" t="str" cm="1">
        <f t="array" ref="L240">IF(Working!$A240="","",INDEX(Working!$A$2:INDEX(Working!$A:$A, MATCH("zzz", Working!$A:$A)), MOD(ROW()-ROW(L$2)+L$1, COUNTA(Working!$A$2:INDEX(Working!$A:$A, MATCH("zzz", Working!$A:$A)))) + 1))</f>
        <v/>
      </c>
    </row>
    <row r="241" spans="3:12" ht="15.75" customHeight="1" x14ac:dyDescent="0.2">
      <c r="C241" t="str" cm="1">
        <f t="array" ref="C241">IF(Working!$A241="","",INDEX(Working!$A$2:INDEX(Working!$A:$A, MATCH("zzz", Working!$A:$A)), MOD(ROW()-ROW(C$2)+C$1, COUNTA(Working!$A$2:INDEX(Working!$A:$A, MATCH("zzz", Working!$A:$A)))) + 1))</f>
        <v/>
      </c>
      <c r="D241" t="str" cm="1">
        <f t="array" ref="D241">IF(Working!$A241="","",INDEX(Working!$A$2:INDEX(Working!$A:$A, MATCH("zzz", Working!$A:$A)), MOD(ROW()-ROW(D$2)+D$1, COUNTA(Working!$A$2:INDEX(Working!$A:$A, MATCH("zzz", Working!$A:$A)))) + 1))</f>
        <v/>
      </c>
      <c r="E241" t="str" cm="1">
        <f t="array" ref="E241">IF(Working!$A241="","",INDEX(Working!$A$2:INDEX(Working!$A:$A, MATCH("zzz", Working!$A:$A)), MOD(ROW()-ROW(E$2)+E$1, COUNTA(Working!$A$2:INDEX(Working!$A:$A, MATCH("zzz", Working!$A:$A)))) + 1))</f>
        <v/>
      </c>
      <c r="F241" t="str" cm="1">
        <f t="array" ref="F241">IF(Working!$A241="","",INDEX(Working!$A$2:INDEX(Working!$A:$A, MATCH("zzz", Working!$A:$A)), MOD(ROW()-ROW(F$2)+F$1, COUNTA(Working!$A$2:INDEX(Working!$A:$A, MATCH("zzz", Working!$A:$A)))) + 1))</f>
        <v/>
      </c>
      <c r="G241" t="str" cm="1">
        <f t="array" ref="G241">IF(Working!$A241="","",INDEX(Working!$A$2:INDEX(Working!$A:$A, MATCH("zzz", Working!$A:$A)), MOD(ROW()-ROW(G$2)+G$1, COUNTA(Working!$A$2:INDEX(Working!$A:$A, MATCH("zzz", Working!$A:$A)))) + 1))</f>
        <v/>
      </c>
      <c r="H241" t="str" cm="1">
        <f t="array" ref="H241">IF(Working!$A241="","",INDEX(Working!$A$2:INDEX(Working!$A:$A, MATCH("zzz", Working!$A:$A)), MOD(ROW()-ROW(H$2)+H$1, COUNTA(Working!$A$2:INDEX(Working!$A:$A, MATCH("zzz", Working!$A:$A)))) + 1))</f>
        <v/>
      </c>
      <c r="I241" t="str" cm="1">
        <f t="array" ref="I241">IF(Working!$A241="","",INDEX(Working!$A$2:INDEX(Working!$A:$A, MATCH("zzz", Working!$A:$A)), MOD(ROW()-ROW(I$2)+I$1, COUNTA(Working!$A$2:INDEX(Working!$A:$A, MATCH("zzz", Working!$A:$A)))) + 1))</f>
        <v/>
      </c>
      <c r="J241" t="str" cm="1">
        <f t="array" ref="J241">IF(Working!$A241="","",INDEX(Working!$A$2:INDEX(Working!$A:$A, MATCH("zzz", Working!$A:$A)), MOD(ROW()-ROW(J$2)+J$1, COUNTA(Working!$A$2:INDEX(Working!$A:$A, MATCH("zzz", Working!$A:$A)))) + 1))</f>
        <v/>
      </c>
      <c r="K241" t="str" cm="1">
        <f t="array" ref="K241">IF(Working!$A241="","",INDEX(Working!$A$2:INDEX(Working!$A:$A, MATCH("zzz", Working!$A:$A)), MOD(ROW()-ROW(K$2)+K$1, COUNTA(Working!$A$2:INDEX(Working!$A:$A, MATCH("zzz", Working!$A:$A)))) + 1))</f>
        <v/>
      </c>
      <c r="L241" t="str" cm="1">
        <f t="array" ref="L241">IF(Working!$A241="","",INDEX(Working!$A$2:INDEX(Working!$A:$A, MATCH("zzz", Working!$A:$A)), MOD(ROW()-ROW(L$2)+L$1, COUNTA(Working!$A$2:INDEX(Working!$A:$A, MATCH("zzz", Working!$A:$A)))) + 1))</f>
        <v/>
      </c>
    </row>
    <row r="242" spans="3:12" ht="15.75" customHeight="1" x14ac:dyDescent="0.2">
      <c r="C242" t="str" cm="1">
        <f t="array" ref="C242">IF(Working!$A242="","",INDEX(Working!$A$2:INDEX(Working!$A:$A, MATCH("zzz", Working!$A:$A)), MOD(ROW()-ROW(C$2)+C$1, COUNTA(Working!$A$2:INDEX(Working!$A:$A, MATCH("zzz", Working!$A:$A)))) + 1))</f>
        <v/>
      </c>
      <c r="D242" t="str" cm="1">
        <f t="array" ref="D242">IF(Working!$A242="","",INDEX(Working!$A$2:INDEX(Working!$A:$A, MATCH("zzz", Working!$A:$A)), MOD(ROW()-ROW(D$2)+D$1, COUNTA(Working!$A$2:INDEX(Working!$A:$A, MATCH("zzz", Working!$A:$A)))) + 1))</f>
        <v/>
      </c>
      <c r="E242" t="str" cm="1">
        <f t="array" ref="E242">IF(Working!$A242="","",INDEX(Working!$A$2:INDEX(Working!$A:$A, MATCH("zzz", Working!$A:$A)), MOD(ROW()-ROW(E$2)+E$1, COUNTA(Working!$A$2:INDEX(Working!$A:$A, MATCH("zzz", Working!$A:$A)))) + 1))</f>
        <v/>
      </c>
      <c r="F242" t="str" cm="1">
        <f t="array" ref="F242">IF(Working!$A242="","",INDEX(Working!$A$2:INDEX(Working!$A:$A, MATCH("zzz", Working!$A:$A)), MOD(ROW()-ROW(F$2)+F$1, COUNTA(Working!$A$2:INDEX(Working!$A:$A, MATCH("zzz", Working!$A:$A)))) + 1))</f>
        <v/>
      </c>
      <c r="G242" t="str" cm="1">
        <f t="array" ref="G242">IF(Working!$A242="","",INDEX(Working!$A$2:INDEX(Working!$A:$A, MATCH("zzz", Working!$A:$A)), MOD(ROW()-ROW(G$2)+G$1, COUNTA(Working!$A$2:INDEX(Working!$A:$A, MATCH("zzz", Working!$A:$A)))) + 1))</f>
        <v/>
      </c>
      <c r="H242" t="str" cm="1">
        <f t="array" ref="H242">IF(Working!$A242="","",INDEX(Working!$A$2:INDEX(Working!$A:$A, MATCH("zzz", Working!$A:$A)), MOD(ROW()-ROW(H$2)+H$1, COUNTA(Working!$A$2:INDEX(Working!$A:$A, MATCH("zzz", Working!$A:$A)))) + 1))</f>
        <v/>
      </c>
      <c r="I242" t="str" cm="1">
        <f t="array" ref="I242">IF(Working!$A242="","",INDEX(Working!$A$2:INDEX(Working!$A:$A, MATCH("zzz", Working!$A:$A)), MOD(ROW()-ROW(I$2)+I$1, COUNTA(Working!$A$2:INDEX(Working!$A:$A, MATCH("zzz", Working!$A:$A)))) + 1))</f>
        <v/>
      </c>
      <c r="J242" t="str" cm="1">
        <f t="array" ref="J242">IF(Working!$A242="","",INDEX(Working!$A$2:INDEX(Working!$A:$A, MATCH("zzz", Working!$A:$A)), MOD(ROW()-ROW(J$2)+J$1, COUNTA(Working!$A$2:INDEX(Working!$A:$A, MATCH("zzz", Working!$A:$A)))) + 1))</f>
        <v/>
      </c>
      <c r="K242" t="str" cm="1">
        <f t="array" ref="K242">IF(Working!$A242="","",INDEX(Working!$A$2:INDEX(Working!$A:$A, MATCH("zzz", Working!$A:$A)), MOD(ROW()-ROW(K$2)+K$1, COUNTA(Working!$A$2:INDEX(Working!$A:$A, MATCH("zzz", Working!$A:$A)))) + 1))</f>
        <v/>
      </c>
      <c r="L242" t="str" cm="1">
        <f t="array" ref="L242">IF(Working!$A242="","",INDEX(Working!$A$2:INDEX(Working!$A:$A, MATCH("zzz", Working!$A:$A)), MOD(ROW()-ROW(L$2)+L$1, COUNTA(Working!$A$2:INDEX(Working!$A:$A, MATCH("zzz", Working!$A:$A)))) + 1))</f>
        <v/>
      </c>
    </row>
    <row r="243" spans="3:12" ht="15.75" customHeight="1" x14ac:dyDescent="0.2">
      <c r="C243" t="str" cm="1">
        <f t="array" ref="C243">IF(Working!$A243="","",INDEX(Working!$A$2:INDEX(Working!$A:$A, MATCH("zzz", Working!$A:$A)), MOD(ROW()-ROW(C$2)+C$1, COUNTA(Working!$A$2:INDEX(Working!$A:$A, MATCH("zzz", Working!$A:$A)))) + 1))</f>
        <v/>
      </c>
      <c r="D243" t="str" cm="1">
        <f t="array" ref="D243">IF(Working!$A243="","",INDEX(Working!$A$2:INDEX(Working!$A:$A, MATCH("zzz", Working!$A:$A)), MOD(ROW()-ROW(D$2)+D$1, COUNTA(Working!$A$2:INDEX(Working!$A:$A, MATCH("zzz", Working!$A:$A)))) + 1))</f>
        <v/>
      </c>
      <c r="E243" t="str" cm="1">
        <f t="array" ref="E243">IF(Working!$A243="","",INDEX(Working!$A$2:INDEX(Working!$A:$A, MATCH("zzz", Working!$A:$A)), MOD(ROW()-ROW(E$2)+E$1, COUNTA(Working!$A$2:INDEX(Working!$A:$A, MATCH("zzz", Working!$A:$A)))) + 1))</f>
        <v/>
      </c>
      <c r="F243" t="str" cm="1">
        <f t="array" ref="F243">IF(Working!$A243="","",INDEX(Working!$A$2:INDEX(Working!$A:$A, MATCH("zzz", Working!$A:$A)), MOD(ROW()-ROW(F$2)+F$1, COUNTA(Working!$A$2:INDEX(Working!$A:$A, MATCH("zzz", Working!$A:$A)))) + 1))</f>
        <v/>
      </c>
      <c r="G243" t="str" cm="1">
        <f t="array" ref="G243">IF(Working!$A243="","",INDEX(Working!$A$2:INDEX(Working!$A:$A, MATCH("zzz", Working!$A:$A)), MOD(ROW()-ROW(G$2)+G$1, COUNTA(Working!$A$2:INDEX(Working!$A:$A, MATCH("zzz", Working!$A:$A)))) + 1))</f>
        <v/>
      </c>
      <c r="H243" t="str" cm="1">
        <f t="array" ref="H243">IF(Working!$A243="","",INDEX(Working!$A$2:INDEX(Working!$A:$A, MATCH("zzz", Working!$A:$A)), MOD(ROW()-ROW(H$2)+H$1, COUNTA(Working!$A$2:INDEX(Working!$A:$A, MATCH("zzz", Working!$A:$A)))) + 1))</f>
        <v/>
      </c>
      <c r="I243" t="str" cm="1">
        <f t="array" ref="I243">IF(Working!$A243="","",INDEX(Working!$A$2:INDEX(Working!$A:$A, MATCH("zzz", Working!$A:$A)), MOD(ROW()-ROW(I$2)+I$1, COUNTA(Working!$A$2:INDEX(Working!$A:$A, MATCH("zzz", Working!$A:$A)))) + 1))</f>
        <v/>
      </c>
      <c r="J243" t="str" cm="1">
        <f t="array" ref="J243">IF(Working!$A243="","",INDEX(Working!$A$2:INDEX(Working!$A:$A, MATCH("zzz", Working!$A:$A)), MOD(ROW()-ROW(J$2)+J$1, COUNTA(Working!$A$2:INDEX(Working!$A:$A, MATCH("zzz", Working!$A:$A)))) + 1))</f>
        <v/>
      </c>
      <c r="K243" t="str" cm="1">
        <f t="array" ref="K243">IF(Working!$A243="","",INDEX(Working!$A$2:INDEX(Working!$A:$A, MATCH("zzz", Working!$A:$A)), MOD(ROW()-ROW(K$2)+K$1, COUNTA(Working!$A$2:INDEX(Working!$A:$A, MATCH("zzz", Working!$A:$A)))) + 1))</f>
        <v/>
      </c>
      <c r="L243" t="str" cm="1">
        <f t="array" ref="L243">IF(Working!$A243="","",INDEX(Working!$A$2:INDEX(Working!$A:$A, MATCH("zzz", Working!$A:$A)), MOD(ROW()-ROW(L$2)+L$1, COUNTA(Working!$A$2:INDEX(Working!$A:$A, MATCH("zzz", Working!$A:$A)))) + 1))</f>
        <v/>
      </c>
    </row>
    <row r="244" spans="3:12" ht="15.75" customHeight="1" x14ac:dyDescent="0.2">
      <c r="C244" t="str" cm="1">
        <f t="array" ref="C244">IF(Working!$A244="","",INDEX(Working!$A$2:INDEX(Working!$A:$A, MATCH("zzz", Working!$A:$A)), MOD(ROW()-ROW(C$2)+C$1, COUNTA(Working!$A$2:INDEX(Working!$A:$A, MATCH("zzz", Working!$A:$A)))) + 1))</f>
        <v/>
      </c>
      <c r="D244" t="str" cm="1">
        <f t="array" ref="D244">IF(Working!$A244="","",INDEX(Working!$A$2:INDEX(Working!$A:$A, MATCH("zzz", Working!$A:$A)), MOD(ROW()-ROW(D$2)+D$1, COUNTA(Working!$A$2:INDEX(Working!$A:$A, MATCH("zzz", Working!$A:$A)))) + 1))</f>
        <v/>
      </c>
      <c r="E244" t="str" cm="1">
        <f t="array" ref="E244">IF(Working!$A244="","",INDEX(Working!$A$2:INDEX(Working!$A:$A, MATCH("zzz", Working!$A:$A)), MOD(ROW()-ROW(E$2)+E$1, COUNTA(Working!$A$2:INDEX(Working!$A:$A, MATCH("zzz", Working!$A:$A)))) + 1))</f>
        <v/>
      </c>
      <c r="F244" t="str" cm="1">
        <f t="array" ref="F244">IF(Working!$A244="","",INDEX(Working!$A$2:INDEX(Working!$A:$A, MATCH("zzz", Working!$A:$A)), MOD(ROW()-ROW(F$2)+F$1, COUNTA(Working!$A$2:INDEX(Working!$A:$A, MATCH("zzz", Working!$A:$A)))) + 1))</f>
        <v/>
      </c>
      <c r="G244" t="str" cm="1">
        <f t="array" ref="G244">IF(Working!$A244="","",INDEX(Working!$A$2:INDEX(Working!$A:$A, MATCH("zzz", Working!$A:$A)), MOD(ROW()-ROW(G$2)+G$1, COUNTA(Working!$A$2:INDEX(Working!$A:$A, MATCH("zzz", Working!$A:$A)))) + 1))</f>
        <v/>
      </c>
      <c r="H244" t="str" cm="1">
        <f t="array" ref="H244">IF(Working!$A244="","",INDEX(Working!$A$2:INDEX(Working!$A:$A, MATCH("zzz", Working!$A:$A)), MOD(ROW()-ROW(H$2)+H$1, COUNTA(Working!$A$2:INDEX(Working!$A:$A, MATCH("zzz", Working!$A:$A)))) + 1))</f>
        <v/>
      </c>
      <c r="I244" t="str" cm="1">
        <f t="array" ref="I244">IF(Working!$A244="","",INDEX(Working!$A$2:INDEX(Working!$A:$A, MATCH("zzz", Working!$A:$A)), MOD(ROW()-ROW(I$2)+I$1, COUNTA(Working!$A$2:INDEX(Working!$A:$A, MATCH("zzz", Working!$A:$A)))) + 1))</f>
        <v/>
      </c>
      <c r="J244" t="str" cm="1">
        <f t="array" ref="J244">IF(Working!$A244="","",INDEX(Working!$A$2:INDEX(Working!$A:$A, MATCH("zzz", Working!$A:$A)), MOD(ROW()-ROW(J$2)+J$1, COUNTA(Working!$A$2:INDEX(Working!$A:$A, MATCH("zzz", Working!$A:$A)))) + 1))</f>
        <v/>
      </c>
      <c r="K244" t="str" cm="1">
        <f t="array" ref="K244">IF(Working!$A244="","",INDEX(Working!$A$2:INDEX(Working!$A:$A, MATCH("zzz", Working!$A:$A)), MOD(ROW()-ROW(K$2)+K$1, COUNTA(Working!$A$2:INDEX(Working!$A:$A, MATCH("zzz", Working!$A:$A)))) + 1))</f>
        <v/>
      </c>
      <c r="L244" t="str" cm="1">
        <f t="array" ref="L244">IF(Working!$A244="","",INDEX(Working!$A$2:INDEX(Working!$A:$A, MATCH("zzz", Working!$A:$A)), MOD(ROW()-ROW(L$2)+L$1, COUNTA(Working!$A$2:INDEX(Working!$A:$A, MATCH("zzz", Working!$A:$A)))) + 1))</f>
        <v/>
      </c>
    </row>
    <row r="245" spans="3:12" ht="15.75" customHeight="1" x14ac:dyDescent="0.2">
      <c r="C245" t="str" cm="1">
        <f t="array" ref="C245">IF(Working!$A245="","",INDEX(Working!$A$2:INDEX(Working!$A:$A, MATCH("zzz", Working!$A:$A)), MOD(ROW()-ROW(C$2)+C$1, COUNTA(Working!$A$2:INDEX(Working!$A:$A, MATCH("zzz", Working!$A:$A)))) + 1))</f>
        <v/>
      </c>
      <c r="D245" t="str" cm="1">
        <f t="array" ref="D245">IF(Working!$A245="","",INDEX(Working!$A$2:INDEX(Working!$A:$A, MATCH("zzz", Working!$A:$A)), MOD(ROW()-ROW(D$2)+D$1, COUNTA(Working!$A$2:INDEX(Working!$A:$A, MATCH("zzz", Working!$A:$A)))) + 1))</f>
        <v/>
      </c>
      <c r="E245" t="str" cm="1">
        <f t="array" ref="E245">IF(Working!$A245="","",INDEX(Working!$A$2:INDEX(Working!$A:$A, MATCH("zzz", Working!$A:$A)), MOD(ROW()-ROW(E$2)+E$1, COUNTA(Working!$A$2:INDEX(Working!$A:$A, MATCH("zzz", Working!$A:$A)))) + 1))</f>
        <v/>
      </c>
      <c r="F245" t="str" cm="1">
        <f t="array" ref="F245">IF(Working!$A245="","",INDEX(Working!$A$2:INDEX(Working!$A:$A, MATCH("zzz", Working!$A:$A)), MOD(ROW()-ROW(F$2)+F$1, COUNTA(Working!$A$2:INDEX(Working!$A:$A, MATCH("zzz", Working!$A:$A)))) + 1))</f>
        <v/>
      </c>
      <c r="G245" t="str" cm="1">
        <f t="array" ref="G245">IF(Working!$A245="","",INDEX(Working!$A$2:INDEX(Working!$A:$A, MATCH("zzz", Working!$A:$A)), MOD(ROW()-ROW(G$2)+G$1, COUNTA(Working!$A$2:INDEX(Working!$A:$A, MATCH("zzz", Working!$A:$A)))) + 1))</f>
        <v/>
      </c>
      <c r="H245" t="str" cm="1">
        <f t="array" ref="H245">IF(Working!$A245="","",INDEX(Working!$A$2:INDEX(Working!$A:$A, MATCH("zzz", Working!$A:$A)), MOD(ROW()-ROW(H$2)+H$1, COUNTA(Working!$A$2:INDEX(Working!$A:$A, MATCH("zzz", Working!$A:$A)))) + 1))</f>
        <v/>
      </c>
      <c r="I245" t="str" cm="1">
        <f t="array" ref="I245">IF(Working!$A245="","",INDEX(Working!$A$2:INDEX(Working!$A:$A, MATCH("zzz", Working!$A:$A)), MOD(ROW()-ROW(I$2)+I$1, COUNTA(Working!$A$2:INDEX(Working!$A:$A, MATCH("zzz", Working!$A:$A)))) + 1))</f>
        <v/>
      </c>
      <c r="J245" t="str" cm="1">
        <f t="array" ref="J245">IF(Working!$A245="","",INDEX(Working!$A$2:INDEX(Working!$A:$A, MATCH("zzz", Working!$A:$A)), MOD(ROW()-ROW(J$2)+J$1, COUNTA(Working!$A$2:INDEX(Working!$A:$A, MATCH("zzz", Working!$A:$A)))) + 1))</f>
        <v/>
      </c>
      <c r="K245" t="str" cm="1">
        <f t="array" ref="K245">IF(Working!$A245="","",INDEX(Working!$A$2:INDEX(Working!$A:$A, MATCH("zzz", Working!$A:$A)), MOD(ROW()-ROW(K$2)+K$1, COUNTA(Working!$A$2:INDEX(Working!$A:$A, MATCH("zzz", Working!$A:$A)))) + 1))</f>
        <v/>
      </c>
      <c r="L245" t="str" cm="1">
        <f t="array" ref="L245">IF(Working!$A245="","",INDEX(Working!$A$2:INDEX(Working!$A:$A, MATCH("zzz", Working!$A:$A)), MOD(ROW()-ROW(L$2)+L$1, COUNTA(Working!$A$2:INDEX(Working!$A:$A, MATCH("zzz", Working!$A:$A)))) + 1))</f>
        <v/>
      </c>
    </row>
    <row r="246" spans="3:12" ht="15.75" customHeight="1" x14ac:dyDescent="0.2">
      <c r="C246" t="str" cm="1">
        <f t="array" ref="C246">IF(Working!$A246="","",INDEX(Working!$A$2:INDEX(Working!$A:$A, MATCH("zzz", Working!$A:$A)), MOD(ROW()-ROW(C$2)+C$1, COUNTA(Working!$A$2:INDEX(Working!$A:$A, MATCH("zzz", Working!$A:$A)))) + 1))</f>
        <v/>
      </c>
      <c r="D246" t="str" cm="1">
        <f t="array" ref="D246">IF(Working!$A246="","",INDEX(Working!$A$2:INDEX(Working!$A:$A, MATCH("zzz", Working!$A:$A)), MOD(ROW()-ROW(D$2)+D$1, COUNTA(Working!$A$2:INDEX(Working!$A:$A, MATCH("zzz", Working!$A:$A)))) + 1))</f>
        <v/>
      </c>
      <c r="E246" t="str" cm="1">
        <f t="array" ref="E246">IF(Working!$A246="","",INDEX(Working!$A$2:INDEX(Working!$A:$A, MATCH("zzz", Working!$A:$A)), MOD(ROW()-ROW(E$2)+E$1, COUNTA(Working!$A$2:INDEX(Working!$A:$A, MATCH("zzz", Working!$A:$A)))) + 1))</f>
        <v/>
      </c>
      <c r="F246" t="str" cm="1">
        <f t="array" ref="F246">IF(Working!$A246="","",INDEX(Working!$A$2:INDEX(Working!$A:$A, MATCH("zzz", Working!$A:$A)), MOD(ROW()-ROW(F$2)+F$1, COUNTA(Working!$A$2:INDEX(Working!$A:$A, MATCH("zzz", Working!$A:$A)))) + 1))</f>
        <v/>
      </c>
      <c r="G246" t="str" cm="1">
        <f t="array" ref="G246">IF(Working!$A246="","",INDEX(Working!$A$2:INDEX(Working!$A:$A, MATCH("zzz", Working!$A:$A)), MOD(ROW()-ROW(G$2)+G$1, COUNTA(Working!$A$2:INDEX(Working!$A:$A, MATCH("zzz", Working!$A:$A)))) + 1))</f>
        <v/>
      </c>
      <c r="H246" t="str" cm="1">
        <f t="array" ref="H246">IF(Working!$A246="","",INDEX(Working!$A$2:INDEX(Working!$A:$A, MATCH("zzz", Working!$A:$A)), MOD(ROW()-ROW(H$2)+H$1, COUNTA(Working!$A$2:INDEX(Working!$A:$A, MATCH("zzz", Working!$A:$A)))) + 1))</f>
        <v/>
      </c>
      <c r="I246" t="str" cm="1">
        <f t="array" ref="I246">IF(Working!$A246="","",INDEX(Working!$A$2:INDEX(Working!$A:$A, MATCH("zzz", Working!$A:$A)), MOD(ROW()-ROW(I$2)+I$1, COUNTA(Working!$A$2:INDEX(Working!$A:$A, MATCH("zzz", Working!$A:$A)))) + 1))</f>
        <v/>
      </c>
      <c r="J246" t="str" cm="1">
        <f t="array" ref="J246">IF(Working!$A246="","",INDEX(Working!$A$2:INDEX(Working!$A:$A, MATCH("zzz", Working!$A:$A)), MOD(ROW()-ROW(J$2)+J$1, COUNTA(Working!$A$2:INDEX(Working!$A:$A, MATCH("zzz", Working!$A:$A)))) + 1))</f>
        <v/>
      </c>
      <c r="K246" t="str" cm="1">
        <f t="array" ref="K246">IF(Working!$A246="","",INDEX(Working!$A$2:INDEX(Working!$A:$A, MATCH("zzz", Working!$A:$A)), MOD(ROW()-ROW(K$2)+K$1, COUNTA(Working!$A$2:INDEX(Working!$A:$A, MATCH("zzz", Working!$A:$A)))) + 1))</f>
        <v/>
      </c>
      <c r="L246" t="str" cm="1">
        <f t="array" ref="L246">IF(Working!$A246="","",INDEX(Working!$A$2:INDEX(Working!$A:$A, MATCH("zzz", Working!$A:$A)), MOD(ROW()-ROW(L$2)+L$1, COUNTA(Working!$A$2:INDEX(Working!$A:$A, MATCH("zzz", Working!$A:$A)))) + 1))</f>
        <v/>
      </c>
    </row>
    <row r="247" spans="3:12" ht="15.75" customHeight="1" x14ac:dyDescent="0.2">
      <c r="C247" t="str" cm="1">
        <f t="array" ref="C247">IF(Working!$A247="","",INDEX(Working!$A$2:INDEX(Working!$A:$A, MATCH("zzz", Working!$A:$A)), MOD(ROW()-ROW(C$2)+C$1, COUNTA(Working!$A$2:INDEX(Working!$A:$A, MATCH("zzz", Working!$A:$A)))) + 1))</f>
        <v/>
      </c>
      <c r="D247" t="str" cm="1">
        <f t="array" ref="D247">IF(Working!$A247="","",INDEX(Working!$A$2:INDEX(Working!$A:$A, MATCH("zzz", Working!$A:$A)), MOD(ROW()-ROW(D$2)+D$1, COUNTA(Working!$A$2:INDEX(Working!$A:$A, MATCH("zzz", Working!$A:$A)))) + 1))</f>
        <v/>
      </c>
      <c r="E247" t="str" cm="1">
        <f t="array" ref="E247">IF(Working!$A247="","",INDEX(Working!$A$2:INDEX(Working!$A:$A, MATCH("zzz", Working!$A:$A)), MOD(ROW()-ROW(E$2)+E$1, COUNTA(Working!$A$2:INDEX(Working!$A:$A, MATCH("zzz", Working!$A:$A)))) + 1))</f>
        <v/>
      </c>
      <c r="F247" t="str" cm="1">
        <f t="array" ref="F247">IF(Working!$A247="","",INDEX(Working!$A$2:INDEX(Working!$A:$A, MATCH("zzz", Working!$A:$A)), MOD(ROW()-ROW(F$2)+F$1, COUNTA(Working!$A$2:INDEX(Working!$A:$A, MATCH("zzz", Working!$A:$A)))) + 1))</f>
        <v/>
      </c>
      <c r="G247" t="str" cm="1">
        <f t="array" ref="G247">IF(Working!$A247="","",INDEX(Working!$A$2:INDEX(Working!$A:$A, MATCH("zzz", Working!$A:$A)), MOD(ROW()-ROW(G$2)+G$1, COUNTA(Working!$A$2:INDEX(Working!$A:$A, MATCH("zzz", Working!$A:$A)))) + 1))</f>
        <v/>
      </c>
      <c r="H247" t="str" cm="1">
        <f t="array" ref="H247">IF(Working!$A247="","",INDEX(Working!$A$2:INDEX(Working!$A:$A, MATCH("zzz", Working!$A:$A)), MOD(ROW()-ROW(H$2)+H$1, COUNTA(Working!$A$2:INDEX(Working!$A:$A, MATCH("zzz", Working!$A:$A)))) + 1))</f>
        <v/>
      </c>
      <c r="I247" t="str" cm="1">
        <f t="array" ref="I247">IF(Working!$A247="","",INDEX(Working!$A$2:INDEX(Working!$A:$A, MATCH("zzz", Working!$A:$A)), MOD(ROW()-ROW(I$2)+I$1, COUNTA(Working!$A$2:INDEX(Working!$A:$A, MATCH("zzz", Working!$A:$A)))) + 1))</f>
        <v/>
      </c>
      <c r="J247" t="str" cm="1">
        <f t="array" ref="J247">IF(Working!$A247="","",INDEX(Working!$A$2:INDEX(Working!$A:$A, MATCH("zzz", Working!$A:$A)), MOD(ROW()-ROW(J$2)+J$1, COUNTA(Working!$A$2:INDEX(Working!$A:$A, MATCH("zzz", Working!$A:$A)))) + 1))</f>
        <v/>
      </c>
      <c r="K247" t="str" cm="1">
        <f t="array" ref="K247">IF(Working!$A247="","",INDEX(Working!$A$2:INDEX(Working!$A:$A, MATCH("zzz", Working!$A:$A)), MOD(ROW()-ROW(K$2)+K$1, COUNTA(Working!$A$2:INDEX(Working!$A:$A, MATCH("zzz", Working!$A:$A)))) + 1))</f>
        <v/>
      </c>
      <c r="L247" t="str" cm="1">
        <f t="array" ref="L247">IF(Working!$A247="","",INDEX(Working!$A$2:INDEX(Working!$A:$A, MATCH("zzz", Working!$A:$A)), MOD(ROW()-ROW(L$2)+L$1, COUNTA(Working!$A$2:INDEX(Working!$A:$A, MATCH("zzz", Working!$A:$A)))) + 1))</f>
        <v/>
      </c>
    </row>
    <row r="248" spans="3:12" ht="15.75" customHeight="1" x14ac:dyDescent="0.2">
      <c r="C248" t="str" cm="1">
        <f t="array" ref="C248">IF(Working!$A248="","",INDEX(Working!$A$2:INDEX(Working!$A:$A, MATCH("zzz", Working!$A:$A)), MOD(ROW()-ROW(C$2)+C$1, COUNTA(Working!$A$2:INDEX(Working!$A:$A, MATCH("zzz", Working!$A:$A)))) + 1))</f>
        <v/>
      </c>
      <c r="D248" t="str" cm="1">
        <f t="array" ref="D248">IF(Working!$A248="","",INDEX(Working!$A$2:INDEX(Working!$A:$A, MATCH("zzz", Working!$A:$A)), MOD(ROW()-ROW(D$2)+D$1, COUNTA(Working!$A$2:INDEX(Working!$A:$A, MATCH("zzz", Working!$A:$A)))) + 1))</f>
        <v/>
      </c>
      <c r="E248" t="str" cm="1">
        <f t="array" ref="E248">IF(Working!$A248="","",INDEX(Working!$A$2:INDEX(Working!$A:$A, MATCH("zzz", Working!$A:$A)), MOD(ROW()-ROW(E$2)+E$1, COUNTA(Working!$A$2:INDEX(Working!$A:$A, MATCH("zzz", Working!$A:$A)))) + 1))</f>
        <v/>
      </c>
      <c r="F248" t="str" cm="1">
        <f t="array" ref="F248">IF(Working!$A248="","",INDEX(Working!$A$2:INDEX(Working!$A:$A, MATCH("zzz", Working!$A:$A)), MOD(ROW()-ROW(F$2)+F$1, COUNTA(Working!$A$2:INDEX(Working!$A:$A, MATCH("zzz", Working!$A:$A)))) + 1))</f>
        <v/>
      </c>
      <c r="G248" t="str" cm="1">
        <f t="array" ref="G248">IF(Working!$A248="","",INDEX(Working!$A$2:INDEX(Working!$A:$A, MATCH("zzz", Working!$A:$A)), MOD(ROW()-ROW(G$2)+G$1, COUNTA(Working!$A$2:INDEX(Working!$A:$A, MATCH("zzz", Working!$A:$A)))) + 1))</f>
        <v/>
      </c>
      <c r="H248" t="str" cm="1">
        <f t="array" ref="H248">IF(Working!$A248="","",INDEX(Working!$A$2:INDEX(Working!$A:$A, MATCH("zzz", Working!$A:$A)), MOD(ROW()-ROW(H$2)+H$1, COUNTA(Working!$A$2:INDEX(Working!$A:$A, MATCH("zzz", Working!$A:$A)))) + 1))</f>
        <v/>
      </c>
      <c r="I248" t="str" cm="1">
        <f t="array" ref="I248">IF(Working!$A248="","",INDEX(Working!$A$2:INDEX(Working!$A:$A, MATCH("zzz", Working!$A:$A)), MOD(ROW()-ROW(I$2)+I$1, COUNTA(Working!$A$2:INDEX(Working!$A:$A, MATCH("zzz", Working!$A:$A)))) + 1))</f>
        <v/>
      </c>
      <c r="J248" t="str" cm="1">
        <f t="array" ref="J248">IF(Working!$A248="","",INDEX(Working!$A$2:INDEX(Working!$A:$A, MATCH("zzz", Working!$A:$A)), MOD(ROW()-ROW(J$2)+J$1, COUNTA(Working!$A$2:INDEX(Working!$A:$A, MATCH("zzz", Working!$A:$A)))) + 1))</f>
        <v/>
      </c>
      <c r="K248" t="str" cm="1">
        <f t="array" ref="K248">IF(Working!$A248="","",INDEX(Working!$A$2:INDEX(Working!$A:$A, MATCH("zzz", Working!$A:$A)), MOD(ROW()-ROW(K$2)+K$1, COUNTA(Working!$A$2:INDEX(Working!$A:$A, MATCH("zzz", Working!$A:$A)))) + 1))</f>
        <v/>
      </c>
      <c r="L248" t="str" cm="1">
        <f t="array" ref="L248">IF(Working!$A248="","",INDEX(Working!$A$2:INDEX(Working!$A:$A, MATCH("zzz", Working!$A:$A)), MOD(ROW()-ROW(L$2)+L$1, COUNTA(Working!$A$2:INDEX(Working!$A:$A, MATCH("zzz", Working!$A:$A)))) + 1))</f>
        <v/>
      </c>
    </row>
    <row r="249" spans="3:12" ht="15.75" customHeight="1" x14ac:dyDescent="0.2">
      <c r="C249" t="str" cm="1">
        <f t="array" ref="C249">IF(Working!$A249="","",INDEX(Working!$A$2:INDEX(Working!$A:$A, MATCH("zzz", Working!$A:$A)), MOD(ROW()-ROW(C$2)+C$1, COUNTA(Working!$A$2:INDEX(Working!$A:$A, MATCH("zzz", Working!$A:$A)))) + 1))</f>
        <v/>
      </c>
      <c r="D249" t="str" cm="1">
        <f t="array" ref="D249">IF(Working!$A249="","",INDEX(Working!$A$2:INDEX(Working!$A:$A, MATCH("zzz", Working!$A:$A)), MOD(ROW()-ROW(D$2)+D$1, COUNTA(Working!$A$2:INDEX(Working!$A:$A, MATCH("zzz", Working!$A:$A)))) + 1))</f>
        <v/>
      </c>
      <c r="E249" t="str" cm="1">
        <f t="array" ref="E249">IF(Working!$A249="","",INDEX(Working!$A$2:INDEX(Working!$A:$A, MATCH("zzz", Working!$A:$A)), MOD(ROW()-ROW(E$2)+E$1, COUNTA(Working!$A$2:INDEX(Working!$A:$A, MATCH("zzz", Working!$A:$A)))) + 1))</f>
        <v/>
      </c>
      <c r="F249" t="str" cm="1">
        <f t="array" ref="F249">IF(Working!$A249="","",INDEX(Working!$A$2:INDEX(Working!$A:$A, MATCH("zzz", Working!$A:$A)), MOD(ROW()-ROW(F$2)+F$1, COUNTA(Working!$A$2:INDEX(Working!$A:$A, MATCH("zzz", Working!$A:$A)))) + 1))</f>
        <v/>
      </c>
      <c r="G249" t="str" cm="1">
        <f t="array" ref="G249">IF(Working!$A249="","",INDEX(Working!$A$2:INDEX(Working!$A:$A, MATCH("zzz", Working!$A:$A)), MOD(ROW()-ROW(G$2)+G$1, COUNTA(Working!$A$2:INDEX(Working!$A:$A, MATCH("zzz", Working!$A:$A)))) + 1))</f>
        <v/>
      </c>
      <c r="H249" t="str" cm="1">
        <f t="array" ref="H249">IF(Working!$A249="","",INDEX(Working!$A$2:INDEX(Working!$A:$A, MATCH("zzz", Working!$A:$A)), MOD(ROW()-ROW(H$2)+H$1, COUNTA(Working!$A$2:INDEX(Working!$A:$A, MATCH("zzz", Working!$A:$A)))) + 1))</f>
        <v/>
      </c>
      <c r="I249" t="str" cm="1">
        <f t="array" ref="I249">IF(Working!$A249="","",INDEX(Working!$A$2:INDEX(Working!$A:$A, MATCH("zzz", Working!$A:$A)), MOD(ROW()-ROW(I$2)+I$1, COUNTA(Working!$A$2:INDEX(Working!$A:$A, MATCH("zzz", Working!$A:$A)))) + 1))</f>
        <v/>
      </c>
      <c r="J249" t="str" cm="1">
        <f t="array" ref="J249">IF(Working!$A249="","",INDEX(Working!$A$2:INDEX(Working!$A:$A, MATCH("zzz", Working!$A:$A)), MOD(ROW()-ROW(J$2)+J$1, COUNTA(Working!$A$2:INDEX(Working!$A:$A, MATCH("zzz", Working!$A:$A)))) + 1))</f>
        <v/>
      </c>
      <c r="K249" t="str" cm="1">
        <f t="array" ref="K249">IF(Working!$A249="","",INDEX(Working!$A$2:INDEX(Working!$A:$A, MATCH("zzz", Working!$A:$A)), MOD(ROW()-ROW(K$2)+K$1, COUNTA(Working!$A$2:INDEX(Working!$A:$A, MATCH("zzz", Working!$A:$A)))) + 1))</f>
        <v/>
      </c>
      <c r="L249" t="str" cm="1">
        <f t="array" ref="L249">IF(Working!$A249="","",INDEX(Working!$A$2:INDEX(Working!$A:$A, MATCH("zzz", Working!$A:$A)), MOD(ROW()-ROW(L$2)+L$1, COUNTA(Working!$A$2:INDEX(Working!$A:$A, MATCH("zzz", Working!$A:$A)))) + 1))</f>
        <v/>
      </c>
    </row>
    <row r="250" spans="3:12" ht="15.75" customHeight="1" x14ac:dyDescent="0.2">
      <c r="C250" t="str" cm="1">
        <f t="array" ref="C250">IF(Working!$A250="","",INDEX(Working!$A$2:INDEX(Working!$A:$A, MATCH("zzz", Working!$A:$A)), MOD(ROW()-ROW(C$2)+C$1, COUNTA(Working!$A$2:INDEX(Working!$A:$A, MATCH("zzz", Working!$A:$A)))) + 1))</f>
        <v/>
      </c>
      <c r="D250" t="str" cm="1">
        <f t="array" ref="D250">IF(Working!$A250="","",INDEX(Working!$A$2:INDEX(Working!$A:$A, MATCH("zzz", Working!$A:$A)), MOD(ROW()-ROW(D$2)+D$1, COUNTA(Working!$A$2:INDEX(Working!$A:$A, MATCH("zzz", Working!$A:$A)))) + 1))</f>
        <v/>
      </c>
      <c r="E250" t="str" cm="1">
        <f t="array" ref="E250">IF(Working!$A250="","",INDEX(Working!$A$2:INDEX(Working!$A:$A, MATCH("zzz", Working!$A:$A)), MOD(ROW()-ROW(E$2)+E$1, COUNTA(Working!$A$2:INDEX(Working!$A:$A, MATCH("zzz", Working!$A:$A)))) + 1))</f>
        <v/>
      </c>
      <c r="F250" t="str" cm="1">
        <f t="array" ref="F250">IF(Working!$A250="","",INDEX(Working!$A$2:INDEX(Working!$A:$A, MATCH("zzz", Working!$A:$A)), MOD(ROW()-ROW(F$2)+F$1, COUNTA(Working!$A$2:INDEX(Working!$A:$A, MATCH("zzz", Working!$A:$A)))) + 1))</f>
        <v/>
      </c>
      <c r="G250" t="str" cm="1">
        <f t="array" ref="G250">IF(Working!$A250="","",INDEX(Working!$A$2:INDEX(Working!$A:$A, MATCH("zzz", Working!$A:$A)), MOD(ROW()-ROW(G$2)+G$1, COUNTA(Working!$A$2:INDEX(Working!$A:$A, MATCH("zzz", Working!$A:$A)))) + 1))</f>
        <v/>
      </c>
      <c r="H250" t="str" cm="1">
        <f t="array" ref="H250">IF(Working!$A250="","",INDEX(Working!$A$2:INDEX(Working!$A:$A, MATCH("zzz", Working!$A:$A)), MOD(ROW()-ROW(H$2)+H$1, COUNTA(Working!$A$2:INDEX(Working!$A:$A, MATCH("zzz", Working!$A:$A)))) + 1))</f>
        <v/>
      </c>
      <c r="I250" t="str" cm="1">
        <f t="array" ref="I250">IF(Working!$A250="","",INDEX(Working!$A$2:INDEX(Working!$A:$A, MATCH("zzz", Working!$A:$A)), MOD(ROW()-ROW(I$2)+I$1, COUNTA(Working!$A$2:INDEX(Working!$A:$A, MATCH("zzz", Working!$A:$A)))) + 1))</f>
        <v/>
      </c>
      <c r="J250" t="str" cm="1">
        <f t="array" ref="J250">IF(Working!$A250="","",INDEX(Working!$A$2:INDEX(Working!$A:$A, MATCH("zzz", Working!$A:$A)), MOD(ROW()-ROW(J$2)+J$1, COUNTA(Working!$A$2:INDEX(Working!$A:$A, MATCH("zzz", Working!$A:$A)))) + 1))</f>
        <v/>
      </c>
      <c r="K250" t="str" cm="1">
        <f t="array" ref="K250">IF(Working!$A250="","",INDEX(Working!$A$2:INDEX(Working!$A:$A, MATCH("zzz", Working!$A:$A)), MOD(ROW()-ROW(K$2)+K$1, COUNTA(Working!$A$2:INDEX(Working!$A:$A, MATCH("zzz", Working!$A:$A)))) + 1))</f>
        <v/>
      </c>
      <c r="L250" t="str" cm="1">
        <f t="array" ref="L250">IF(Working!$A250="","",INDEX(Working!$A$2:INDEX(Working!$A:$A, MATCH("zzz", Working!$A:$A)), MOD(ROW()-ROW(L$2)+L$1, COUNTA(Working!$A$2:INDEX(Working!$A:$A, MATCH("zzz", Working!$A:$A)))) + 1))</f>
        <v/>
      </c>
    </row>
    <row r="251" spans="3:12" ht="15.75" customHeight="1" x14ac:dyDescent="0.2">
      <c r="C251" t="str" cm="1">
        <f t="array" ref="C251">IF(Working!$A251="","",INDEX(Working!$A$2:INDEX(Working!$A:$A, MATCH("zzz", Working!$A:$A)), MOD(ROW()-ROW(C$2)+C$1, COUNTA(Working!$A$2:INDEX(Working!$A:$A, MATCH("zzz", Working!$A:$A)))) + 1))</f>
        <v/>
      </c>
      <c r="D251" t="str" cm="1">
        <f t="array" ref="D251">IF(Working!$A251="","",INDEX(Working!$A$2:INDEX(Working!$A:$A, MATCH("zzz", Working!$A:$A)), MOD(ROW()-ROW(D$2)+D$1, COUNTA(Working!$A$2:INDEX(Working!$A:$A, MATCH("zzz", Working!$A:$A)))) + 1))</f>
        <v/>
      </c>
      <c r="E251" t="str" cm="1">
        <f t="array" ref="E251">IF(Working!$A251="","",INDEX(Working!$A$2:INDEX(Working!$A:$A, MATCH("zzz", Working!$A:$A)), MOD(ROW()-ROW(E$2)+E$1, COUNTA(Working!$A$2:INDEX(Working!$A:$A, MATCH("zzz", Working!$A:$A)))) + 1))</f>
        <v/>
      </c>
      <c r="F251" t="str" cm="1">
        <f t="array" ref="F251">IF(Working!$A251="","",INDEX(Working!$A$2:INDEX(Working!$A:$A, MATCH("zzz", Working!$A:$A)), MOD(ROW()-ROW(F$2)+F$1, COUNTA(Working!$A$2:INDEX(Working!$A:$A, MATCH("zzz", Working!$A:$A)))) + 1))</f>
        <v/>
      </c>
      <c r="G251" t="str" cm="1">
        <f t="array" ref="G251">IF(Working!$A251="","",INDEX(Working!$A$2:INDEX(Working!$A:$A, MATCH("zzz", Working!$A:$A)), MOD(ROW()-ROW(G$2)+G$1, COUNTA(Working!$A$2:INDEX(Working!$A:$A, MATCH("zzz", Working!$A:$A)))) + 1))</f>
        <v/>
      </c>
      <c r="H251" t="str" cm="1">
        <f t="array" ref="H251">IF(Working!$A251="","",INDEX(Working!$A$2:INDEX(Working!$A:$A, MATCH("zzz", Working!$A:$A)), MOD(ROW()-ROW(H$2)+H$1, COUNTA(Working!$A$2:INDEX(Working!$A:$A, MATCH("zzz", Working!$A:$A)))) + 1))</f>
        <v/>
      </c>
      <c r="I251" t="str" cm="1">
        <f t="array" ref="I251">IF(Working!$A251="","",INDEX(Working!$A$2:INDEX(Working!$A:$A, MATCH("zzz", Working!$A:$A)), MOD(ROW()-ROW(I$2)+I$1, COUNTA(Working!$A$2:INDEX(Working!$A:$A, MATCH("zzz", Working!$A:$A)))) + 1))</f>
        <v/>
      </c>
      <c r="J251" t="str" cm="1">
        <f t="array" ref="J251">IF(Working!$A251="","",INDEX(Working!$A$2:INDEX(Working!$A:$A, MATCH("zzz", Working!$A:$A)), MOD(ROW()-ROW(J$2)+J$1, COUNTA(Working!$A$2:INDEX(Working!$A:$A, MATCH("zzz", Working!$A:$A)))) + 1))</f>
        <v/>
      </c>
      <c r="K251" t="str" cm="1">
        <f t="array" ref="K251">IF(Working!$A251="","",INDEX(Working!$A$2:INDEX(Working!$A:$A, MATCH("zzz", Working!$A:$A)), MOD(ROW()-ROW(K$2)+K$1, COUNTA(Working!$A$2:INDEX(Working!$A:$A, MATCH("zzz", Working!$A:$A)))) + 1))</f>
        <v/>
      </c>
      <c r="L251" t="str" cm="1">
        <f t="array" ref="L251">IF(Working!$A251="","",INDEX(Working!$A$2:INDEX(Working!$A:$A, MATCH("zzz", Working!$A:$A)), MOD(ROW()-ROW(L$2)+L$1, COUNTA(Working!$A$2:INDEX(Working!$A:$A, MATCH("zzz", Working!$A:$A)))) + 1))</f>
        <v/>
      </c>
    </row>
    <row r="252" spans="3:12" ht="15.75" customHeight="1" x14ac:dyDescent="0.2">
      <c r="C252" t="str" cm="1">
        <f t="array" ref="C252">IF(Working!$A252="","",INDEX(Working!$A$2:INDEX(Working!$A:$A, MATCH("zzz", Working!$A:$A)), MOD(ROW()-ROW(C$2)+C$1, COUNTA(Working!$A$2:INDEX(Working!$A:$A, MATCH("zzz", Working!$A:$A)))) + 1))</f>
        <v/>
      </c>
      <c r="D252" t="str" cm="1">
        <f t="array" ref="D252">IF(Working!$A252="","",INDEX(Working!$A$2:INDEX(Working!$A:$A, MATCH("zzz", Working!$A:$A)), MOD(ROW()-ROW(D$2)+D$1, COUNTA(Working!$A$2:INDEX(Working!$A:$A, MATCH("zzz", Working!$A:$A)))) + 1))</f>
        <v/>
      </c>
      <c r="E252" t="str" cm="1">
        <f t="array" ref="E252">IF(Working!$A252="","",INDEX(Working!$A$2:INDEX(Working!$A:$A, MATCH("zzz", Working!$A:$A)), MOD(ROW()-ROW(E$2)+E$1, COUNTA(Working!$A$2:INDEX(Working!$A:$A, MATCH("zzz", Working!$A:$A)))) + 1))</f>
        <v/>
      </c>
      <c r="F252" t="str" cm="1">
        <f t="array" ref="F252">IF(Working!$A252="","",INDEX(Working!$A$2:INDEX(Working!$A:$A, MATCH("zzz", Working!$A:$A)), MOD(ROW()-ROW(F$2)+F$1, COUNTA(Working!$A$2:INDEX(Working!$A:$A, MATCH("zzz", Working!$A:$A)))) + 1))</f>
        <v/>
      </c>
      <c r="G252" t="str" cm="1">
        <f t="array" ref="G252">IF(Working!$A252="","",INDEX(Working!$A$2:INDEX(Working!$A:$A, MATCH("zzz", Working!$A:$A)), MOD(ROW()-ROW(G$2)+G$1, COUNTA(Working!$A$2:INDEX(Working!$A:$A, MATCH("zzz", Working!$A:$A)))) + 1))</f>
        <v/>
      </c>
      <c r="H252" t="str" cm="1">
        <f t="array" ref="H252">IF(Working!$A252="","",INDEX(Working!$A$2:INDEX(Working!$A:$A, MATCH("zzz", Working!$A:$A)), MOD(ROW()-ROW(H$2)+H$1, COUNTA(Working!$A$2:INDEX(Working!$A:$A, MATCH("zzz", Working!$A:$A)))) + 1))</f>
        <v/>
      </c>
      <c r="I252" t="str" cm="1">
        <f t="array" ref="I252">IF(Working!$A252="","",INDEX(Working!$A$2:INDEX(Working!$A:$A, MATCH("zzz", Working!$A:$A)), MOD(ROW()-ROW(I$2)+I$1, COUNTA(Working!$A$2:INDEX(Working!$A:$A, MATCH("zzz", Working!$A:$A)))) + 1))</f>
        <v/>
      </c>
      <c r="J252" t="str" cm="1">
        <f t="array" ref="J252">IF(Working!$A252="","",INDEX(Working!$A$2:INDEX(Working!$A:$A, MATCH("zzz", Working!$A:$A)), MOD(ROW()-ROW(J$2)+J$1, COUNTA(Working!$A$2:INDEX(Working!$A:$A, MATCH("zzz", Working!$A:$A)))) + 1))</f>
        <v/>
      </c>
      <c r="K252" t="str" cm="1">
        <f t="array" ref="K252">IF(Working!$A252="","",INDEX(Working!$A$2:INDEX(Working!$A:$A, MATCH("zzz", Working!$A:$A)), MOD(ROW()-ROW(K$2)+K$1, COUNTA(Working!$A$2:INDEX(Working!$A:$A, MATCH("zzz", Working!$A:$A)))) + 1))</f>
        <v/>
      </c>
      <c r="L252" t="str" cm="1">
        <f t="array" ref="L252">IF(Working!$A252="","",INDEX(Working!$A$2:INDEX(Working!$A:$A, MATCH("zzz", Working!$A:$A)), MOD(ROW()-ROW(L$2)+L$1, COUNTA(Working!$A$2:INDEX(Working!$A:$A, MATCH("zzz", Working!$A:$A)))) + 1))</f>
        <v/>
      </c>
    </row>
    <row r="253" spans="3:12" ht="15.75" customHeight="1" x14ac:dyDescent="0.2">
      <c r="C253" t="str" cm="1">
        <f t="array" ref="C253">IF(Working!$A253="","",INDEX(Working!$A$2:INDEX(Working!$A:$A, MATCH("zzz", Working!$A:$A)), MOD(ROW()-ROW(C$2)+C$1, COUNTA(Working!$A$2:INDEX(Working!$A:$A, MATCH("zzz", Working!$A:$A)))) + 1))</f>
        <v/>
      </c>
      <c r="D253" t="str" cm="1">
        <f t="array" ref="D253">IF(Working!$A253="","",INDEX(Working!$A$2:INDEX(Working!$A:$A, MATCH("zzz", Working!$A:$A)), MOD(ROW()-ROW(D$2)+D$1, COUNTA(Working!$A$2:INDEX(Working!$A:$A, MATCH("zzz", Working!$A:$A)))) + 1))</f>
        <v/>
      </c>
      <c r="E253" t="str" cm="1">
        <f t="array" ref="E253">IF(Working!$A253="","",INDEX(Working!$A$2:INDEX(Working!$A:$A, MATCH("zzz", Working!$A:$A)), MOD(ROW()-ROW(E$2)+E$1, COUNTA(Working!$A$2:INDEX(Working!$A:$A, MATCH("zzz", Working!$A:$A)))) + 1))</f>
        <v/>
      </c>
      <c r="F253" t="str" cm="1">
        <f t="array" ref="F253">IF(Working!$A253="","",INDEX(Working!$A$2:INDEX(Working!$A:$A, MATCH("zzz", Working!$A:$A)), MOD(ROW()-ROW(F$2)+F$1, COUNTA(Working!$A$2:INDEX(Working!$A:$A, MATCH("zzz", Working!$A:$A)))) + 1))</f>
        <v/>
      </c>
      <c r="G253" t="str" cm="1">
        <f t="array" ref="G253">IF(Working!$A253="","",INDEX(Working!$A$2:INDEX(Working!$A:$A, MATCH("zzz", Working!$A:$A)), MOD(ROW()-ROW(G$2)+G$1, COUNTA(Working!$A$2:INDEX(Working!$A:$A, MATCH("zzz", Working!$A:$A)))) + 1))</f>
        <v/>
      </c>
      <c r="H253" t="str" cm="1">
        <f t="array" ref="H253">IF(Working!$A253="","",INDEX(Working!$A$2:INDEX(Working!$A:$A, MATCH("zzz", Working!$A:$A)), MOD(ROW()-ROW(H$2)+H$1, COUNTA(Working!$A$2:INDEX(Working!$A:$A, MATCH("zzz", Working!$A:$A)))) + 1))</f>
        <v/>
      </c>
      <c r="I253" t="str" cm="1">
        <f t="array" ref="I253">IF(Working!$A253="","",INDEX(Working!$A$2:INDEX(Working!$A:$A, MATCH("zzz", Working!$A:$A)), MOD(ROW()-ROW(I$2)+I$1, COUNTA(Working!$A$2:INDEX(Working!$A:$A, MATCH("zzz", Working!$A:$A)))) + 1))</f>
        <v/>
      </c>
      <c r="J253" t="str" cm="1">
        <f t="array" ref="J253">IF(Working!$A253="","",INDEX(Working!$A$2:INDEX(Working!$A:$A, MATCH("zzz", Working!$A:$A)), MOD(ROW()-ROW(J$2)+J$1, COUNTA(Working!$A$2:INDEX(Working!$A:$A, MATCH("zzz", Working!$A:$A)))) + 1))</f>
        <v/>
      </c>
      <c r="K253" t="str" cm="1">
        <f t="array" ref="K253">IF(Working!$A253="","",INDEX(Working!$A$2:INDEX(Working!$A:$A, MATCH("zzz", Working!$A:$A)), MOD(ROW()-ROW(K$2)+K$1, COUNTA(Working!$A$2:INDEX(Working!$A:$A, MATCH("zzz", Working!$A:$A)))) + 1))</f>
        <v/>
      </c>
      <c r="L253" t="str" cm="1">
        <f t="array" ref="L253">IF(Working!$A253="","",INDEX(Working!$A$2:INDEX(Working!$A:$A, MATCH("zzz", Working!$A:$A)), MOD(ROW()-ROW(L$2)+L$1, COUNTA(Working!$A$2:INDEX(Working!$A:$A, MATCH("zzz", Working!$A:$A)))) + 1))</f>
        <v/>
      </c>
    </row>
    <row r="254" spans="3:12" ht="15.75" customHeight="1" x14ac:dyDescent="0.2">
      <c r="C254" t="str" cm="1">
        <f t="array" ref="C254">IF(Working!$A254="","",INDEX(Working!$A$2:INDEX(Working!$A:$A, MATCH("zzz", Working!$A:$A)), MOD(ROW()-ROW(C$2)+C$1, COUNTA(Working!$A$2:INDEX(Working!$A:$A, MATCH("zzz", Working!$A:$A)))) + 1))</f>
        <v/>
      </c>
      <c r="D254" t="str" cm="1">
        <f t="array" ref="D254">IF(Working!$A254="","",INDEX(Working!$A$2:INDEX(Working!$A:$A, MATCH("zzz", Working!$A:$A)), MOD(ROW()-ROW(D$2)+D$1, COUNTA(Working!$A$2:INDEX(Working!$A:$A, MATCH("zzz", Working!$A:$A)))) + 1))</f>
        <v/>
      </c>
      <c r="E254" t="str" cm="1">
        <f t="array" ref="E254">IF(Working!$A254="","",INDEX(Working!$A$2:INDEX(Working!$A:$A, MATCH("zzz", Working!$A:$A)), MOD(ROW()-ROW(E$2)+E$1, COUNTA(Working!$A$2:INDEX(Working!$A:$A, MATCH("zzz", Working!$A:$A)))) + 1))</f>
        <v/>
      </c>
      <c r="F254" t="str" cm="1">
        <f t="array" ref="F254">IF(Working!$A254="","",INDEX(Working!$A$2:INDEX(Working!$A:$A, MATCH("zzz", Working!$A:$A)), MOD(ROW()-ROW(F$2)+F$1, COUNTA(Working!$A$2:INDEX(Working!$A:$A, MATCH("zzz", Working!$A:$A)))) + 1))</f>
        <v/>
      </c>
      <c r="G254" t="str" cm="1">
        <f t="array" ref="G254">IF(Working!$A254="","",INDEX(Working!$A$2:INDEX(Working!$A:$A, MATCH("zzz", Working!$A:$A)), MOD(ROW()-ROW(G$2)+G$1, COUNTA(Working!$A$2:INDEX(Working!$A:$A, MATCH("zzz", Working!$A:$A)))) + 1))</f>
        <v/>
      </c>
      <c r="H254" t="str" cm="1">
        <f t="array" ref="H254">IF(Working!$A254="","",INDEX(Working!$A$2:INDEX(Working!$A:$A, MATCH("zzz", Working!$A:$A)), MOD(ROW()-ROW(H$2)+H$1, COUNTA(Working!$A$2:INDEX(Working!$A:$A, MATCH("zzz", Working!$A:$A)))) + 1))</f>
        <v/>
      </c>
      <c r="I254" t="str" cm="1">
        <f t="array" ref="I254">IF(Working!$A254="","",INDEX(Working!$A$2:INDEX(Working!$A:$A, MATCH("zzz", Working!$A:$A)), MOD(ROW()-ROW(I$2)+I$1, COUNTA(Working!$A$2:INDEX(Working!$A:$A, MATCH("zzz", Working!$A:$A)))) + 1))</f>
        <v/>
      </c>
      <c r="J254" t="str" cm="1">
        <f t="array" ref="J254">IF(Working!$A254="","",INDEX(Working!$A$2:INDEX(Working!$A:$A, MATCH("zzz", Working!$A:$A)), MOD(ROW()-ROW(J$2)+J$1, COUNTA(Working!$A$2:INDEX(Working!$A:$A, MATCH("zzz", Working!$A:$A)))) + 1))</f>
        <v/>
      </c>
      <c r="K254" t="str" cm="1">
        <f t="array" ref="K254">IF(Working!$A254="","",INDEX(Working!$A$2:INDEX(Working!$A:$A, MATCH("zzz", Working!$A:$A)), MOD(ROW()-ROW(K$2)+K$1, COUNTA(Working!$A$2:INDEX(Working!$A:$A, MATCH("zzz", Working!$A:$A)))) + 1))</f>
        <v/>
      </c>
      <c r="L254" t="str" cm="1">
        <f t="array" ref="L254">IF(Working!$A254="","",INDEX(Working!$A$2:INDEX(Working!$A:$A, MATCH("zzz", Working!$A:$A)), MOD(ROW()-ROW(L$2)+L$1, COUNTA(Working!$A$2:INDEX(Working!$A:$A, MATCH("zzz", Working!$A:$A)))) + 1))</f>
        <v/>
      </c>
    </row>
    <row r="255" spans="3:12" ht="15.75" customHeight="1" x14ac:dyDescent="0.2">
      <c r="C255" t="str" cm="1">
        <f t="array" ref="C255">IF(Working!$A255="","",INDEX(Working!$A$2:INDEX(Working!$A:$A, MATCH("zzz", Working!$A:$A)), MOD(ROW()-ROW(C$2)+C$1, COUNTA(Working!$A$2:INDEX(Working!$A:$A, MATCH("zzz", Working!$A:$A)))) + 1))</f>
        <v/>
      </c>
      <c r="D255" t="str" cm="1">
        <f t="array" ref="D255">IF(Working!$A255="","",INDEX(Working!$A$2:INDEX(Working!$A:$A, MATCH("zzz", Working!$A:$A)), MOD(ROW()-ROW(D$2)+D$1, COUNTA(Working!$A$2:INDEX(Working!$A:$A, MATCH("zzz", Working!$A:$A)))) + 1))</f>
        <v/>
      </c>
      <c r="E255" t="str" cm="1">
        <f t="array" ref="E255">IF(Working!$A255="","",INDEX(Working!$A$2:INDEX(Working!$A:$A, MATCH("zzz", Working!$A:$A)), MOD(ROW()-ROW(E$2)+E$1, COUNTA(Working!$A$2:INDEX(Working!$A:$A, MATCH("zzz", Working!$A:$A)))) + 1))</f>
        <v/>
      </c>
      <c r="F255" t="str" cm="1">
        <f t="array" ref="F255">IF(Working!$A255="","",INDEX(Working!$A$2:INDEX(Working!$A:$A, MATCH("zzz", Working!$A:$A)), MOD(ROW()-ROW(F$2)+F$1, COUNTA(Working!$A$2:INDEX(Working!$A:$A, MATCH("zzz", Working!$A:$A)))) + 1))</f>
        <v/>
      </c>
      <c r="G255" t="str" cm="1">
        <f t="array" ref="G255">IF(Working!$A255="","",INDEX(Working!$A$2:INDEX(Working!$A:$A, MATCH("zzz", Working!$A:$A)), MOD(ROW()-ROW(G$2)+G$1, COUNTA(Working!$A$2:INDEX(Working!$A:$A, MATCH("zzz", Working!$A:$A)))) + 1))</f>
        <v/>
      </c>
      <c r="H255" t="str" cm="1">
        <f t="array" ref="H255">IF(Working!$A255="","",INDEX(Working!$A$2:INDEX(Working!$A:$A, MATCH("zzz", Working!$A:$A)), MOD(ROW()-ROW(H$2)+H$1, COUNTA(Working!$A$2:INDEX(Working!$A:$A, MATCH("zzz", Working!$A:$A)))) + 1))</f>
        <v/>
      </c>
      <c r="I255" t="str" cm="1">
        <f t="array" ref="I255">IF(Working!$A255="","",INDEX(Working!$A$2:INDEX(Working!$A:$A, MATCH("zzz", Working!$A:$A)), MOD(ROW()-ROW(I$2)+I$1, COUNTA(Working!$A$2:INDEX(Working!$A:$A, MATCH("zzz", Working!$A:$A)))) + 1))</f>
        <v/>
      </c>
      <c r="J255" t="str" cm="1">
        <f t="array" ref="J255">IF(Working!$A255="","",INDEX(Working!$A$2:INDEX(Working!$A:$A, MATCH("zzz", Working!$A:$A)), MOD(ROW()-ROW(J$2)+J$1, COUNTA(Working!$A$2:INDEX(Working!$A:$A, MATCH("zzz", Working!$A:$A)))) + 1))</f>
        <v/>
      </c>
      <c r="K255" t="str" cm="1">
        <f t="array" ref="K255">IF(Working!$A255="","",INDEX(Working!$A$2:INDEX(Working!$A:$A, MATCH("zzz", Working!$A:$A)), MOD(ROW()-ROW(K$2)+K$1, COUNTA(Working!$A$2:INDEX(Working!$A:$A, MATCH("zzz", Working!$A:$A)))) + 1))</f>
        <v/>
      </c>
      <c r="L255" t="str" cm="1">
        <f t="array" ref="L255">IF(Working!$A255="","",INDEX(Working!$A$2:INDEX(Working!$A:$A, MATCH("zzz", Working!$A:$A)), MOD(ROW()-ROW(L$2)+L$1, COUNTA(Working!$A$2:INDEX(Working!$A:$A, MATCH("zzz", Working!$A:$A)))) + 1))</f>
        <v/>
      </c>
    </row>
    <row r="256" spans="3:12" ht="15.75" customHeight="1" x14ac:dyDescent="0.2">
      <c r="C256" t="str" cm="1">
        <f t="array" ref="C256">IF(Working!$A256="","",INDEX(Working!$A$2:INDEX(Working!$A:$A, MATCH("zzz", Working!$A:$A)), MOD(ROW()-ROW(C$2)+C$1, COUNTA(Working!$A$2:INDEX(Working!$A:$A, MATCH("zzz", Working!$A:$A)))) + 1))</f>
        <v/>
      </c>
      <c r="D256" t="str" cm="1">
        <f t="array" ref="D256">IF(Working!$A256="","",INDEX(Working!$A$2:INDEX(Working!$A:$A, MATCH("zzz", Working!$A:$A)), MOD(ROW()-ROW(D$2)+D$1, COUNTA(Working!$A$2:INDEX(Working!$A:$A, MATCH("zzz", Working!$A:$A)))) + 1))</f>
        <v/>
      </c>
      <c r="E256" t="str" cm="1">
        <f t="array" ref="E256">IF(Working!$A256="","",INDEX(Working!$A$2:INDEX(Working!$A:$A, MATCH("zzz", Working!$A:$A)), MOD(ROW()-ROW(E$2)+E$1, COUNTA(Working!$A$2:INDEX(Working!$A:$A, MATCH("zzz", Working!$A:$A)))) + 1))</f>
        <v/>
      </c>
      <c r="F256" t="str" cm="1">
        <f t="array" ref="F256">IF(Working!$A256="","",INDEX(Working!$A$2:INDEX(Working!$A:$A, MATCH("zzz", Working!$A:$A)), MOD(ROW()-ROW(F$2)+F$1, COUNTA(Working!$A$2:INDEX(Working!$A:$A, MATCH("zzz", Working!$A:$A)))) + 1))</f>
        <v/>
      </c>
      <c r="G256" t="str" cm="1">
        <f t="array" ref="G256">IF(Working!$A256="","",INDEX(Working!$A$2:INDEX(Working!$A:$A, MATCH("zzz", Working!$A:$A)), MOD(ROW()-ROW(G$2)+G$1, COUNTA(Working!$A$2:INDEX(Working!$A:$A, MATCH("zzz", Working!$A:$A)))) + 1))</f>
        <v/>
      </c>
      <c r="H256" t="str" cm="1">
        <f t="array" ref="H256">IF(Working!$A256="","",INDEX(Working!$A$2:INDEX(Working!$A:$A, MATCH("zzz", Working!$A:$A)), MOD(ROW()-ROW(H$2)+H$1, COUNTA(Working!$A$2:INDEX(Working!$A:$A, MATCH("zzz", Working!$A:$A)))) + 1))</f>
        <v/>
      </c>
      <c r="I256" t="str" cm="1">
        <f t="array" ref="I256">IF(Working!$A256="","",INDEX(Working!$A$2:INDEX(Working!$A:$A, MATCH("zzz", Working!$A:$A)), MOD(ROW()-ROW(I$2)+I$1, COUNTA(Working!$A$2:INDEX(Working!$A:$A, MATCH("zzz", Working!$A:$A)))) + 1))</f>
        <v/>
      </c>
      <c r="J256" t="str" cm="1">
        <f t="array" ref="J256">IF(Working!$A256="","",INDEX(Working!$A$2:INDEX(Working!$A:$A, MATCH("zzz", Working!$A:$A)), MOD(ROW()-ROW(J$2)+J$1, COUNTA(Working!$A$2:INDEX(Working!$A:$A, MATCH("zzz", Working!$A:$A)))) + 1))</f>
        <v/>
      </c>
      <c r="K256" t="str" cm="1">
        <f t="array" ref="K256">IF(Working!$A256="","",INDEX(Working!$A$2:INDEX(Working!$A:$A, MATCH("zzz", Working!$A:$A)), MOD(ROW()-ROW(K$2)+K$1, COUNTA(Working!$A$2:INDEX(Working!$A:$A, MATCH("zzz", Working!$A:$A)))) + 1))</f>
        <v/>
      </c>
      <c r="L256" t="str" cm="1">
        <f t="array" ref="L256">IF(Working!$A256="","",INDEX(Working!$A$2:INDEX(Working!$A:$A, MATCH("zzz", Working!$A:$A)), MOD(ROW()-ROW(L$2)+L$1, COUNTA(Working!$A$2:INDEX(Working!$A:$A, MATCH("zzz", Working!$A:$A)))) + 1))</f>
        <v/>
      </c>
    </row>
    <row r="257" spans="3:12" ht="15.75" customHeight="1" x14ac:dyDescent="0.2">
      <c r="C257" t="str" cm="1">
        <f t="array" ref="C257">IF(Working!$A257="","",INDEX(Working!$A$2:INDEX(Working!$A:$A, MATCH("zzz", Working!$A:$A)), MOD(ROW()-ROW(C$2)+C$1, COUNTA(Working!$A$2:INDEX(Working!$A:$A, MATCH("zzz", Working!$A:$A)))) + 1))</f>
        <v/>
      </c>
      <c r="D257" t="str" cm="1">
        <f t="array" ref="D257">IF(Working!$A257="","",INDEX(Working!$A$2:INDEX(Working!$A:$A, MATCH("zzz", Working!$A:$A)), MOD(ROW()-ROW(D$2)+D$1, COUNTA(Working!$A$2:INDEX(Working!$A:$A, MATCH("zzz", Working!$A:$A)))) + 1))</f>
        <v/>
      </c>
      <c r="E257" t="str" cm="1">
        <f t="array" ref="E257">IF(Working!$A257="","",INDEX(Working!$A$2:INDEX(Working!$A:$A, MATCH("zzz", Working!$A:$A)), MOD(ROW()-ROW(E$2)+E$1, COUNTA(Working!$A$2:INDEX(Working!$A:$A, MATCH("zzz", Working!$A:$A)))) + 1))</f>
        <v/>
      </c>
      <c r="F257" t="str" cm="1">
        <f t="array" ref="F257">IF(Working!$A257="","",INDEX(Working!$A$2:INDEX(Working!$A:$A, MATCH("zzz", Working!$A:$A)), MOD(ROW()-ROW(F$2)+F$1, COUNTA(Working!$A$2:INDEX(Working!$A:$A, MATCH("zzz", Working!$A:$A)))) + 1))</f>
        <v/>
      </c>
      <c r="G257" t="str" cm="1">
        <f t="array" ref="G257">IF(Working!$A257="","",INDEX(Working!$A$2:INDEX(Working!$A:$A, MATCH("zzz", Working!$A:$A)), MOD(ROW()-ROW(G$2)+G$1, COUNTA(Working!$A$2:INDEX(Working!$A:$A, MATCH("zzz", Working!$A:$A)))) + 1))</f>
        <v/>
      </c>
      <c r="H257" t="str" cm="1">
        <f t="array" ref="H257">IF(Working!$A257="","",INDEX(Working!$A$2:INDEX(Working!$A:$A, MATCH("zzz", Working!$A:$A)), MOD(ROW()-ROW(H$2)+H$1, COUNTA(Working!$A$2:INDEX(Working!$A:$A, MATCH("zzz", Working!$A:$A)))) + 1))</f>
        <v/>
      </c>
      <c r="I257" t="str" cm="1">
        <f t="array" ref="I257">IF(Working!$A257="","",INDEX(Working!$A$2:INDEX(Working!$A:$A, MATCH("zzz", Working!$A:$A)), MOD(ROW()-ROW(I$2)+I$1, COUNTA(Working!$A$2:INDEX(Working!$A:$A, MATCH("zzz", Working!$A:$A)))) + 1))</f>
        <v/>
      </c>
      <c r="J257" t="str" cm="1">
        <f t="array" ref="J257">IF(Working!$A257="","",INDEX(Working!$A$2:INDEX(Working!$A:$A, MATCH("zzz", Working!$A:$A)), MOD(ROW()-ROW(J$2)+J$1, COUNTA(Working!$A$2:INDEX(Working!$A:$A, MATCH("zzz", Working!$A:$A)))) + 1))</f>
        <v/>
      </c>
      <c r="K257" t="str" cm="1">
        <f t="array" ref="K257">IF(Working!$A257="","",INDEX(Working!$A$2:INDEX(Working!$A:$A, MATCH("zzz", Working!$A:$A)), MOD(ROW()-ROW(K$2)+K$1, COUNTA(Working!$A$2:INDEX(Working!$A:$A, MATCH("zzz", Working!$A:$A)))) + 1))</f>
        <v/>
      </c>
      <c r="L257" t="str" cm="1">
        <f t="array" ref="L257">IF(Working!$A257="","",INDEX(Working!$A$2:INDEX(Working!$A:$A, MATCH("zzz", Working!$A:$A)), MOD(ROW()-ROW(L$2)+L$1, COUNTA(Working!$A$2:INDEX(Working!$A:$A, MATCH("zzz", Working!$A:$A)))) + 1))</f>
        <v/>
      </c>
    </row>
    <row r="258" spans="3:12" ht="15.75" customHeight="1" x14ac:dyDescent="0.2">
      <c r="C258" t="str" cm="1">
        <f t="array" ref="C258">IF(Working!$A258="","",INDEX(Working!$A$2:INDEX(Working!$A:$A, MATCH("zzz", Working!$A:$A)), MOD(ROW()-ROW(C$2)+C$1, COUNTA(Working!$A$2:INDEX(Working!$A:$A, MATCH("zzz", Working!$A:$A)))) + 1))</f>
        <v/>
      </c>
      <c r="D258" t="str" cm="1">
        <f t="array" ref="D258">IF(Working!$A258="","",INDEX(Working!$A$2:INDEX(Working!$A:$A, MATCH("zzz", Working!$A:$A)), MOD(ROW()-ROW(D$2)+D$1, COUNTA(Working!$A$2:INDEX(Working!$A:$A, MATCH("zzz", Working!$A:$A)))) + 1))</f>
        <v/>
      </c>
      <c r="E258" t="str" cm="1">
        <f t="array" ref="E258">IF(Working!$A258="","",INDEX(Working!$A$2:INDEX(Working!$A:$A, MATCH("zzz", Working!$A:$A)), MOD(ROW()-ROW(E$2)+E$1, COUNTA(Working!$A$2:INDEX(Working!$A:$A, MATCH("zzz", Working!$A:$A)))) + 1))</f>
        <v/>
      </c>
      <c r="F258" t="str" cm="1">
        <f t="array" ref="F258">IF(Working!$A258="","",INDEX(Working!$A$2:INDEX(Working!$A:$A, MATCH("zzz", Working!$A:$A)), MOD(ROW()-ROW(F$2)+F$1, COUNTA(Working!$A$2:INDEX(Working!$A:$A, MATCH("zzz", Working!$A:$A)))) + 1))</f>
        <v/>
      </c>
      <c r="G258" t="str" cm="1">
        <f t="array" ref="G258">IF(Working!$A258="","",INDEX(Working!$A$2:INDEX(Working!$A:$A, MATCH("zzz", Working!$A:$A)), MOD(ROW()-ROW(G$2)+G$1, COUNTA(Working!$A$2:INDEX(Working!$A:$A, MATCH("zzz", Working!$A:$A)))) + 1))</f>
        <v/>
      </c>
      <c r="H258" t="str" cm="1">
        <f t="array" ref="H258">IF(Working!$A258="","",INDEX(Working!$A$2:INDEX(Working!$A:$A, MATCH("zzz", Working!$A:$A)), MOD(ROW()-ROW(H$2)+H$1, COUNTA(Working!$A$2:INDEX(Working!$A:$A, MATCH("zzz", Working!$A:$A)))) + 1))</f>
        <v/>
      </c>
      <c r="I258" t="str" cm="1">
        <f t="array" ref="I258">IF(Working!$A258="","",INDEX(Working!$A$2:INDEX(Working!$A:$A, MATCH("zzz", Working!$A:$A)), MOD(ROW()-ROW(I$2)+I$1, COUNTA(Working!$A$2:INDEX(Working!$A:$A, MATCH("zzz", Working!$A:$A)))) + 1))</f>
        <v/>
      </c>
      <c r="J258" t="str" cm="1">
        <f t="array" ref="J258">IF(Working!$A258="","",INDEX(Working!$A$2:INDEX(Working!$A:$A, MATCH("zzz", Working!$A:$A)), MOD(ROW()-ROW(J$2)+J$1, COUNTA(Working!$A$2:INDEX(Working!$A:$A, MATCH("zzz", Working!$A:$A)))) + 1))</f>
        <v/>
      </c>
      <c r="K258" t="str" cm="1">
        <f t="array" ref="K258">IF(Working!$A258="","",INDEX(Working!$A$2:INDEX(Working!$A:$A, MATCH("zzz", Working!$A:$A)), MOD(ROW()-ROW(K$2)+K$1, COUNTA(Working!$A$2:INDEX(Working!$A:$A, MATCH("zzz", Working!$A:$A)))) + 1))</f>
        <v/>
      </c>
      <c r="L258" t="str" cm="1">
        <f t="array" ref="L258">IF(Working!$A258="","",INDEX(Working!$A$2:INDEX(Working!$A:$A, MATCH("zzz", Working!$A:$A)), MOD(ROW()-ROW(L$2)+L$1, COUNTA(Working!$A$2:INDEX(Working!$A:$A, MATCH("zzz", Working!$A:$A)))) + 1))</f>
        <v/>
      </c>
    </row>
    <row r="259" spans="3:12" ht="15.75" customHeight="1" x14ac:dyDescent="0.2">
      <c r="C259" t="str" cm="1">
        <f t="array" ref="C259">IF(Working!$A259="","",INDEX(Working!$A$2:INDEX(Working!$A:$A, MATCH("zzz", Working!$A:$A)), MOD(ROW()-ROW(C$2)+C$1, COUNTA(Working!$A$2:INDEX(Working!$A:$A, MATCH("zzz", Working!$A:$A)))) + 1))</f>
        <v/>
      </c>
      <c r="D259" t="str" cm="1">
        <f t="array" ref="D259">IF(Working!$A259="","",INDEX(Working!$A$2:INDEX(Working!$A:$A, MATCH("zzz", Working!$A:$A)), MOD(ROW()-ROW(D$2)+D$1, COUNTA(Working!$A$2:INDEX(Working!$A:$A, MATCH("zzz", Working!$A:$A)))) + 1))</f>
        <v/>
      </c>
      <c r="E259" t="str" cm="1">
        <f t="array" ref="E259">IF(Working!$A259="","",INDEX(Working!$A$2:INDEX(Working!$A:$A, MATCH("zzz", Working!$A:$A)), MOD(ROW()-ROW(E$2)+E$1, COUNTA(Working!$A$2:INDEX(Working!$A:$A, MATCH("zzz", Working!$A:$A)))) + 1))</f>
        <v/>
      </c>
      <c r="F259" t="str" cm="1">
        <f t="array" ref="F259">IF(Working!$A259="","",INDEX(Working!$A$2:INDEX(Working!$A:$A, MATCH("zzz", Working!$A:$A)), MOD(ROW()-ROW(F$2)+F$1, COUNTA(Working!$A$2:INDEX(Working!$A:$A, MATCH("zzz", Working!$A:$A)))) + 1))</f>
        <v/>
      </c>
      <c r="G259" t="str" cm="1">
        <f t="array" ref="G259">IF(Working!$A259="","",INDEX(Working!$A$2:INDEX(Working!$A:$A, MATCH("zzz", Working!$A:$A)), MOD(ROW()-ROW(G$2)+G$1, COUNTA(Working!$A$2:INDEX(Working!$A:$A, MATCH("zzz", Working!$A:$A)))) + 1))</f>
        <v/>
      </c>
      <c r="H259" t="str" cm="1">
        <f t="array" ref="H259">IF(Working!$A259="","",INDEX(Working!$A$2:INDEX(Working!$A:$A, MATCH("zzz", Working!$A:$A)), MOD(ROW()-ROW(H$2)+H$1, COUNTA(Working!$A$2:INDEX(Working!$A:$A, MATCH("zzz", Working!$A:$A)))) + 1))</f>
        <v/>
      </c>
      <c r="I259" t="str" cm="1">
        <f t="array" ref="I259">IF(Working!$A259="","",INDEX(Working!$A$2:INDEX(Working!$A:$A, MATCH("zzz", Working!$A:$A)), MOD(ROW()-ROW(I$2)+I$1, COUNTA(Working!$A$2:INDEX(Working!$A:$A, MATCH("zzz", Working!$A:$A)))) + 1))</f>
        <v/>
      </c>
      <c r="J259" t="str" cm="1">
        <f t="array" ref="J259">IF(Working!$A259="","",INDEX(Working!$A$2:INDEX(Working!$A:$A, MATCH("zzz", Working!$A:$A)), MOD(ROW()-ROW(J$2)+J$1, COUNTA(Working!$A$2:INDEX(Working!$A:$A, MATCH("zzz", Working!$A:$A)))) + 1))</f>
        <v/>
      </c>
      <c r="K259" t="str" cm="1">
        <f t="array" ref="K259">IF(Working!$A259="","",INDEX(Working!$A$2:INDEX(Working!$A:$A, MATCH("zzz", Working!$A:$A)), MOD(ROW()-ROW(K$2)+K$1, COUNTA(Working!$A$2:INDEX(Working!$A:$A, MATCH("zzz", Working!$A:$A)))) + 1))</f>
        <v/>
      </c>
      <c r="L259" t="str" cm="1">
        <f t="array" ref="L259">IF(Working!$A259="","",INDEX(Working!$A$2:INDEX(Working!$A:$A, MATCH("zzz", Working!$A:$A)), MOD(ROW()-ROW(L$2)+L$1, COUNTA(Working!$A$2:INDEX(Working!$A:$A, MATCH("zzz", Working!$A:$A)))) + 1))</f>
        <v/>
      </c>
    </row>
    <row r="260" spans="3:12" ht="15.75" customHeight="1" x14ac:dyDescent="0.2">
      <c r="C260" t="str" cm="1">
        <f t="array" ref="C260">IF(Working!$A260="","",INDEX(Working!$A$2:INDEX(Working!$A:$A, MATCH("zzz", Working!$A:$A)), MOD(ROW()-ROW(C$2)+C$1, COUNTA(Working!$A$2:INDEX(Working!$A:$A, MATCH("zzz", Working!$A:$A)))) + 1))</f>
        <v/>
      </c>
      <c r="D260" t="str" cm="1">
        <f t="array" ref="D260">IF(Working!$A260="","",INDEX(Working!$A$2:INDEX(Working!$A:$A, MATCH("zzz", Working!$A:$A)), MOD(ROW()-ROW(D$2)+D$1, COUNTA(Working!$A$2:INDEX(Working!$A:$A, MATCH("zzz", Working!$A:$A)))) + 1))</f>
        <v/>
      </c>
      <c r="E260" t="str" cm="1">
        <f t="array" ref="E260">IF(Working!$A260="","",INDEX(Working!$A$2:INDEX(Working!$A:$A, MATCH("zzz", Working!$A:$A)), MOD(ROW()-ROW(E$2)+E$1, COUNTA(Working!$A$2:INDEX(Working!$A:$A, MATCH("zzz", Working!$A:$A)))) + 1))</f>
        <v/>
      </c>
      <c r="F260" t="str" cm="1">
        <f t="array" ref="F260">IF(Working!$A260="","",INDEX(Working!$A$2:INDEX(Working!$A:$A, MATCH("zzz", Working!$A:$A)), MOD(ROW()-ROW(F$2)+F$1, COUNTA(Working!$A$2:INDEX(Working!$A:$A, MATCH("zzz", Working!$A:$A)))) + 1))</f>
        <v/>
      </c>
      <c r="G260" t="str" cm="1">
        <f t="array" ref="G260">IF(Working!$A260="","",INDEX(Working!$A$2:INDEX(Working!$A:$A, MATCH("zzz", Working!$A:$A)), MOD(ROW()-ROW(G$2)+G$1, COUNTA(Working!$A$2:INDEX(Working!$A:$A, MATCH("zzz", Working!$A:$A)))) + 1))</f>
        <v/>
      </c>
      <c r="H260" t="str" cm="1">
        <f t="array" ref="H260">IF(Working!$A260="","",INDEX(Working!$A$2:INDEX(Working!$A:$A, MATCH("zzz", Working!$A:$A)), MOD(ROW()-ROW(H$2)+H$1, COUNTA(Working!$A$2:INDEX(Working!$A:$A, MATCH("zzz", Working!$A:$A)))) + 1))</f>
        <v/>
      </c>
      <c r="I260" t="str" cm="1">
        <f t="array" ref="I260">IF(Working!$A260="","",INDEX(Working!$A$2:INDEX(Working!$A:$A, MATCH("zzz", Working!$A:$A)), MOD(ROW()-ROW(I$2)+I$1, COUNTA(Working!$A$2:INDEX(Working!$A:$A, MATCH("zzz", Working!$A:$A)))) + 1))</f>
        <v/>
      </c>
      <c r="J260" t="str" cm="1">
        <f t="array" ref="J260">IF(Working!$A260="","",INDEX(Working!$A$2:INDEX(Working!$A:$A, MATCH("zzz", Working!$A:$A)), MOD(ROW()-ROW(J$2)+J$1, COUNTA(Working!$A$2:INDEX(Working!$A:$A, MATCH("zzz", Working!$A:$A)))) + 1))</f>
        <v/>
      </c>
      <c r="K260" t="str" cm="1">
        <f t="array" ref="K260">IF(Working!$A260="","",INDEX(Working!$A$2:INDEX(Working!$A:$A, MATCH("zzz", Working!$A:$A)), MOD(ROW()-ROW(K$2)+K$1, COUNTA(Working!$A$2:INDEX(Working!$A:$A, MATCH("zzz", Working!$A:$A)))) + 1))</f>
        <v/>
      </c>
      <c r="L260" t="str" cm="1">
        <f t="array" ref="L260">IF(Working!$A260="","",INDEX(Working!$A$2:INDEX(Working!$A:$A, MATCH("zzz", Working!$A:$A)), MOD(ROW()-ROW(L$2)+L$1, COUNTA(Working!$A$2:INDEX(Working!$A:$A, MATCH("zzz", Working!$A:$A)))) + 1))</f>
        <v/>
      </c>
    </row>
    <row r="261" spans="3:12" ht="15.75" customHeight="1" x14ac:dyDescent="0.2">
      <c r="C261" t="str" cm="1">
        <f t="array" ref="C261">IF(Working!$A261="","",INDEX(Working!$A$2:INDEX(Working!$A:$A, MATCH("zzz", Working!$A:$A)), MOD(ROW()-ROW(C$2)+C$1, COUNTA(Working!$A$2:INDEX(Working!$A:$A, MATCH("zzz", Working!$A:$A)))) + 1))</f>
        <v/>
      </c>
      <c r="D261" t="str" cm="1">
        <f t="array" ref="D261">IF(Working!$A261="","",INDEX(Working!$A$2:INDEX(Working!$A:$A, MATCH("zzz", Working!$A:$A)), MOD(ROW()-ROW(D$2)+D$1, COUNTA(Working!$A$2:INDEX(Working!$A:$A, MATCH("zzz", Working!$A:$A)))) + 1))</f>
        <v/>
      </c>
      <c r="E261" t="str" cm="1">
        <f t="array" ref="E261">IF(Working!$A261="","",INDEX(Working!$A$2:INDEX(Working!$A:$A, MATCH("zzz", Working!$A:$A)), MOD(ROW()-ROW(E$2)+E$1, COUNTA(Working!$A$2:INDEX(Working!$A:$A, MATCH("zzz", Working!$A:$A)))) + 1))</f>
        <v/>
      </c>
      <c r="F261" t="str" cm="1">
        <f t="array" ref="F261">IF(Working!$A261="","",INDEX(Working!$A$2:INDEX(Working!$A:$A, MATCH("zzz", Working!$A:$A)), MOD(ROW()-ROW(F$2)+F$1, COUNTA(Working!$A$2:INDEX(Working!$A:$A, MATCH("zzz", Working!$A:$A)))) + 1))</f>
        <v/>
      </c>
      <c r="G261" t="str" cm="1">
        <f t="array" ref="G261">IF(Working!$A261="","",INDEX(Working!$A$2:INDEX(Working!$A:$A, MATCH("zzz", Working!$A:$A)), MOD(ROW()-ROW(G$2)+G$1, COUNTA(Working!$A$2:INDEX(Working!$A:$A, MATCH("zzz", Working!$A:$A)))) + 1))</f>
        <v/>
      </c>
      <c r="H261" t="str" cm="1">
        <f t="array" ref="H261">IF(Working!$A261="","",INDEX(Working!$A$2:INDEX(Working!$A:$A, MATCH("zzz", Working!$A:$A)), MOD(ROW()-ROW(H$2)+H$1, COUNTA(Working!$A$2:INDEX(Working!$A:$A, MATCH("zzz", Working!$A:$A)))) + 1))</f>
        <v/>
      </c>
      <c r="I261" t="str" cm="1">
        <f t="array" ref="I261">IF(Working!$A261="","",INDEX(Working!$A$2:INDEX(Working!$A:$A, MATCH("zzz", Working!$A:$A)), MOD(ROW()-ROW(I$2)+I$1, COUNTA(Working!$A$2:INDEX(Working!$A:$A, MATCH("zzz", Working!$A:$A)))) + 1))</f>
        <v/>
      </c>
      <c r="J261" t="str" cm="1">
        <f t="array" ref="J261">IF(Working!$A261="","",INDEX(Working!$A$2:INDEX(Working!$A:$A, MATCH("zzz", Working!$A:$A)), MOD(ROW()-ROW(J$2)+J$1, COUNTA(Working!$A$2:INDEX(Working!$A:$A, MATCH("zzz", Working!$A:$A)))) + 1))</f>
        <v/>
      </c>
      <c r="K261" t="str" cm="1">
        <f t="array" ref="K261">IF(Working!$A261="","",INDEX(Working!$A$2:INDEX(Working!$A:$A, MATCH("zzz", Working!$A:$A)), MOD(ROW()-ROW(K$2)+K$1, COUNTA(Working!$A$2:INDEX(Working!$A:$A, MATCH("zzz", Working!$A:$A)))) + 1))</f>
        <v/>
      </c>
      <c r="L261" t="str" cm="1">
        <f t="array" ref="L261">IF(Working!$A261="","",INDEX(Working!$A$2:INDEX(Working!$A:$A, MATCH("zzz", Working!$A:$A)), MOD(ROW()-ROW(L$2)+L$1, COUNTA(Working!$A$2:INDEX(Working!$A:$A, MATCH("zzz", Working!$A:$A)))) + 1))</f>
        <v/>
      </c>
    </row>
    <row r="262" spans="3:12" ht="15.75" customHeight="1" x14ac:dyDescent="0.2">
      <c r="C262" t="str" cm="1">
        <f t="array" ref="C262">IF(Working!$A262="","",INDEX(Working!$A$2:INDEX(Working!$A:$A, MATCH("zzz", Working!$A:$A)), MOD(ROW()-ROW(C$2)+C$1, COUNTA(Working!$A$2:INDEX(Working!$A:$A, MATCH("zzz", Working!$A:$A)))) + 1))</f>
        <v/>
      </c>
      <c r="D262" t="str" cm="1">
        <f t="array" ref="D262">IF(Working!$A262="","",INDEX(Working!$A$2:INDEX(Working!$A:$A, MATCH("zzz", Working!$A:$A)), MOD(ROW()-ROW(D$2)+D$1, COUNTA(Working!$A$2:INDEX(Working!$A:$A, MATCH("zzz", Working!$A:$A)))) + 1))</f>
        <v/>
      </c>
      <c r="E262" t="str" cm="1">
        <f t="array" ref="E262">IF(Working!$A262="","",INDEX(Working!$A$2:INDEX(Working!$A:$A, MATCH("zzz", Working!$A:$A)), MOD(ROW()-ROW(E$2)+E$1, COUNTA(Working!$A$2:INDEX(Working!$A:$A, MATCH("zzz", Working!$A:$A)))) + 1))</f>
        <v/>
      </c>
      <c r="F262" t="str" cm="1">
        <f t="array" ref="F262">IF(Working!$A262="","",INDEX(Working!$A$2:INDEX(Working!$A:$A, MATCH("zzz", Working!$A:$A)), MOD(ROW()-ROW(F$2)+F$1, COUNTA(Working!$A$2:INDEX(Working!$A:$A, MATCH("zzz", Working!$A:$A)))) + 1))</f>
        <v/>
      </c>
      <c r="G262" t="str" cm="1">
        <f t="array" ref="G262">IF(Working!$A262="","",INDEX(Working!$A$2:INDEX(Working!$A:$A, MATCH("zzz", Working!$A:$A)), MOD(ROW()-ROW(G$2)+G$1, COUNTA(Working!$A$2:INDEX(Working!$A:$A, MATCH("zzz", Working!$A:$A)))) + 1))</f>
        <v/>
      </c>
      <c r="H262" t="str" cm="1">
        <f t="array" ref="H262">IF(Working!$A262="","",INDEX(Working!$A$2:INDEX(Working!$A:$A, MATCH("zzz", Working!$A:$A)), MOD(ROW()-ROW(H$2)+H$1, COUNTA(Working!$A$2:INDEX(Working!$A:$A, MATCH("zzz", Working!$A:$A)))) + 1))</f>
        <v/>
      </c>
      <c r="I262" t="str" cm="1">
        <f t="array" ref="I262">IF(Working!$A262="","",INDEX(Working!$A$2:INDEX(Working!$A:$A, MATCH("zzz", Working!$A:$A)), MOD(ROW()-ROW(I$2)+I$1, COUNTA(Working!$A$2:INDEX(Working!$A:$A, MATCH("zzz", Working!$A:$A)))) + 1))</f>
        <v/>
      </c>
      <c r="J262" t="str" cm="1">
        <f t="array" ref="J262">IF(Working!$A262="","",INDEX(Working!$A$2:INDEX(Working!$A:$A, MATCH("zzz", Working!$A:$A)), MOD(ROW()-ROW(J$2)+J$1, COUNTA(Working!$A$2:INDEX(Working!$A:$A, MATCH("zzz", Working!$A:$A)))) + 1))</f>
        <v/>
      </c>
      <c r="K262" t="str" cm="1">
        <f t="array" ref="K262">IF(Working!$A262="","",INDEX(Working!$A$2:INDEX(Working!$A:$A, MATCH("zzz", Working!$A:$A)), MOD(ROW()-ROW(K$2)+K$1, COUNTA(Working!$A$2:INDEX(Working!$A:$A, MATCH("zzz", Working!$A:$A)))) + 1))</f>
        <v/>
      </c>
      <c r="L262" t="str" cm="1">
        <f t="array" ref="L262">IF(Working!$A262="","",INDEX(Working!$A$2:INDEX(Working!$A:$A, MATCH("zzz", Working!$A:$A)), MOD(ROW()-ROW(L$2)+L$1, COUNTA(Working!$A$2:INDEX(Working!$A:$A, MATCH("zzz", Working!$A:$A)))) + 1))</f>
        <v/>
      </c>
    </row>
    <row r="263" spans="3:12" ht="15.75" customHeight="1" x14ac:dyDescent="0.2">
      <c r="C263" t="str" cm="1">
        <f t="array" ref="C263">IF(Working!$A263="","",INDEX(Working!$A$2:INDEX(Working!$A:$A, MATCH("zzz", Working!$A:$A)), MOD(ROW()-ROW(C$2)+C$1, COUNTA(Working!$A$2:INDEX(Working!$A:$A, MATCH("zzz", Working!$A:$A)))) + 1))</f>
        <v/>
      </c>
      <c r="D263" t="str" cm="1">
        <f t="array" ref="D263">IF(Working!$A263="","",INDEX(Working!$A$2:INDEX(Working!$A:$A, MATCH("zzz", Working!$A:$A)), MOD(ROW()-ROW(D$2)+D$1, COUNTA(Working!$A$2:INDEX(Working!$A:$A, MATCH("zzz", Working!$A:$A)))) + 1))</f>
        <v/>
      </c>
      <c r="E263" t="str" cm="1">
        <f t="array" ref="E263">IF(Working!$A263="","",INDEX(Working!$A$2:INDEX(Working!$A:$A, MATCH("zzz", Working!$A:$A)), MOD(ROW()-ROW(E$2)+E$1, COUNTA(Working!$A$2:INDEX(Working!$A:$A, MATCH("zzz", Working!$A:$A)))) + 1))</f>
        <v/>
      </c>
      <c r="F263" t="str" cm="1">
        <f t="array" ref="F263">IF(Working!$A263="","",INDEX(Working!$A$2:INDEX(Working!$A:$A, MATCH("zzz", Working!$A:$A)), MOD(ROW()-ROW(F$2)+F$1, COUNTA(Working!$A$2:INDEX(Working!$A:$A, MATCH("zzz", Working!$A:$A)))) + 1))</f>
        <v/>
      </c>
      <c r="G263" t="str" cm="1">
        <f t="array" ref="G263">IF(Working!$A263="","",INDEX(Working!$A$2:INDEX(Working!$A:$A, MATCH("zzz", Working!$A:$A)), MOD(ROW()-ROW(G$2)+G$1, COUNTA(Working!$A$2:INDEX(Working!$A:$A, MATCH("zzz", Working!$A:$A)))) + 1))</f>
        <v/>
      </c>
      <c r="H263" t="str" cm="1">
        <f t="array" ref="H263">IF(Working!$A263="","",INDEX(Working!$A$2:INDEX(Working!$A:$A, MATCH("zzz", Working!$A:$A)), MOD(ROW()-ROW(H$2)+H$1, COUNTA(Working!$A$2:INDEX(Working!$A:$A, MATCH("zzz", Working!$A:$A)))) + 1))</f>
        <v/>
      </c>
      <c r="I263" t="str" cm="1">
        <f t="array" ref="I263">IF(Working!$A263="","",INDEX(Working!$A$2:INDEX(Working!$A:$A, MATCH("zzz", Working!$A:$A)), MOD(ROW()-ROW(I$2)+I$1, COUNTA(Working!$A$2:INDEX(Working!$A:$A, MATCH("zzz", Working!$A:$A)))) + 1))</f>
        <v/>
      </c>
      <c r="J263" t="str" cm="1">
        <f t="array" ref="J263">IF(Working!$A263="","",INDEX(Working!$A$2:INDEX(Working!$A:$A, MATCH("zzz", Working!$A:$A)), MOD(ROW()-ROW(J$2)+J$1, COUNTA(Working!$A$2:INDEX(Working!$A:$A, MATCH("zzz", Working!$A:$A)))) + 1))</f>
        <v/>
      </c>
      <c r="K263" t="str" cm="1">
        <f t="array" ref="K263">IF(Working!$A263="","",INDEX(Working!$A$2:INDEX(Working!$A:$A, MATCH("zzz", Working!$A:$A)), MOD(ROW()-ROW(K$2)+K$1, COUNTA(Working!$A$2:INDEX(Working!$A:$A, MATCH("zzz", Working!$A:$A)))) + 1))</f>
        <v/>
      </c>
      <c r="L263" t="str" cm="1">
        <f t="array" ref="L263">IF(Working!$A263="","",INDEX(Working!$A$2:INDEX(Working!$A:$A, MATCH("zzz", Working!$A:$A)), MOD(ROW()-ROW(L$2)+L$1, COUNTA(Working!$A$2:INDEX(Working!$A:$A, MATCH("zzz", Working!$A:$A)))) + 1))</f>
        <v/>
      </c>
    </row>
    <row r="264" spans="3:12" ht="15.75" customHeight="1" x14ac:dyDescent="0.2">
      <c r="C264" t="str" cm="1">
        <f t="array" ref="C264">IF(Working!$A264="","",INDEX(Working!$A$2:INDEX(Working!$A:$A, MATCH("zzz", Working!$A:$A)), MOD(ROW()-ROW(C$2)+C$1, COUNTA(Working!$A$2:INDEX(Working!$A:$A, MATCH("zzz", Working!$A:$A)))) + 1))</f>
        <v/>
      </c>
      <c r="D264" t="str" cm="1">
        <f t="array" ref="D264">IF(Working!$A264="","",INDEX(Working!$A$2:INDEX(Working!$A:$A, MATCH("zzz", Working!$A:$A)), MOD(ROW()-ROW(D$2)+D$1, COUNTA(Working!$A$2:INDEX(Working!$A:$A, MATCH("zzz", Working!$A:$A)))) + 1))</f>
        <v/>
      </c>
      <c r="E264" t="str" cm="1">
        <f t="array" ref="E264">IF(Working!$A264="","",INDEX(Working!$A$2:INDEX(Working!$A:$A, MATCH("zzz", Working!$A:$A)), MOD(ROW()-ROW(E$2)+E$1, COUNTA(Working!$A$2:INDEX(Working!$A:$A, MATCH("zzz", Working!$A:$A)))) + 1))</f>
        <v/>
      </c>
      <c r="F264" t="str" cm="1">
        <f t="array" ref="F264">IF(Working!$A264="","",INDEX(Working!$A$2:INDEX(Working!$A:$A, MATCH("zzz", Working!$A:$A)), MOD(ROW()-ROW(F$2)+F$1, COUNTA(Working!$A$2:INDEX(Working!$A:$A, MATCH("zzz", Working!$A:$A)))) + 1))</f>
        <v/>
      </c>
      <c r="G264" t="str" cm="1">
        <f t="array" ref="G264">IF(Working!$A264="","",INDEX(Working!$A$2:INDEX(Working!$A:$A, MATCH("zzz", Working!$A:$A)), MOD(ROW()-ROW(G$2)+G$1, COUNTA(Working!$A$2:INDEX(Working!$A:$A, MATCH("zzz", Working!$A:$A)))) + 1))</f>
        <v/>
      </c>
      <c r="H264" t="str" cm="1">
        <f t="array" ref="H264">IF(Working!$A264="","",INDEX(Working!$A$2:INDEX(Working!$A:$A, MATCH("zzz", Working!$A:$A)), MOD(ROW()-ROW(H$2)+H$1, COUNTA(Working!$A$2:INDEX(Working!$A:$A, MATCH("zzz", Working!$A:$A)))) + 1))</f>
        <v/>
      </c>
      <c r="I264" t="str" cm="1">
        <f t="array" ref="I264">IF(Working!$A264="","",INDEX(Working!$A$2:INDEX(Working!$A:$A, MATCH("zzz", Working!$A:$A)), MOD(ROW()-ROW(I$2)+I$1, COUNTA(Working!$A$2:INDEX(Working!$A:$A, MATCH("zzz", Working!$A:$A)))) + 1))</f>
        <v/>
      </c>
      <c r="J264" t="str" cm="1">
        <f t="array" ref="J264">IF(Working!$A264="","",INDEX(Working!$A$2:INDEX(Working!$A:$A, MATCH("zzz", Working!$A:$A)), MOD(ROW()-ROW(J$2)+J$1, COUNTA(Working!$A$2:INDEX(Working!$A:$A, MATCH("zzz", Working!$A:$A)))) + 1))</f>
        <v/>
      </c>
      <c r="K264" t="str" cm="1">
        <f t="array" ref="K264">IF(Working!$A264="","",INDEX(Working!$A$2:INDEX(Working!$A:$A, MATCH("zzz", Working!$A:$A)), MOD(ROW()-ROW(K$2)+K$1, COUNTA(Working!$A$2:INDEX(Working!$A:$A, MATCH("zzz", Working!$A:$A)))) + 1))</f>
        <v/>
      </c>
      <c r="L264" t="str" cm="1">
        <f t="array" ref="L264">IF(Working!$A264="","",INDEX(Working!$A$2:INDEX(Working!$A:$A, MATCH("zzz", Working!$A:$A)), MOD(ROW()-ROW(L$2)+L$1, COUNTA(Working!$A$2:INDEX(Working!$A:$A, MATCH("zzz", Working!$A:$A)))) + 1))</f>
        <v/>
      </c>
    </row>
    <row r="265" spans="3:12" ht="15.75" customHeight="1" x14ac:dyDescent="0.2">
      <c r="C265" t="str" cm="1">
        <f t="array" ref="C265">IF(Working!$A265="","",INDEX(Working!$A$2:INDEX(Working!$A:$A, MATCH("zzz", Working!$A:$A)), MOD(ROW()-ROW(C$2)+C$1, COUNTA(Working!$A$2:INDEX(Working!$A:$A, MATCH("zzz", Working!$A:$A)))) + 1))</f>
        <v/>
      </c>
      <c r="D265" t="str" cm="1">
        <f t="array" ref="D265">IF(Working!$A265="","",INDEX(Working!$A$2:INDEX(Working!$A:$A, MATCH("zzz", Working!$A:$A)), MOD(ROW()-ROW(D$2)+D$1, COUNTA(Working!$A$2:INDEX(Working!$A:$A, MATCH("zzz", Working!$A:$A)))) + 1))</f>
        <v/>
      </c>
      <c r="E265" t="str" cm="1">
        <f t="array" ref="E265">IF(Working!$A265="","",INDEX(Working!$A$2:INDEX(Working!$A:$A, MATCH("zzz", Working!$A:$A)), MOD(ROW()-ROW(E$2)+E$1, COUNTA(Working!$A$2:INDEX(Working!$A:$A, MATCH("zzz", Working!$A:$A)))) + 1))</f>
        <v/>
      </c>
      <c r="F265" t="str" cm="1">
        <f t="array" ref="F265">IF(Working!$A265="","",INDEX(Working!$A$2:INDEX(Working!$A:$A, MATCH("zzz", Working!$A:$A)), MOD(ROW()-ROW(F$2)+F$1, COUNTA(Working!$A$2:INDEX(Working!$A:$A, MATCH("zzz", Working!$A:$A)))) + 1))</f>
        <v/>
      </c>
      <c r="G265" t="str" cm="1">
        <f t="array" ref="G265">IF(Working!$A265="","",INDEX(Working!$A$2:INDEX(Working!$A:$A, MATCH("zzz", Working!$A:$A)), MOD(ROW()-ROW(G$2)+G$1, COUNTA(Working!$A$2:INDEX(Working!$A:$A, MATCH("zzz", Working!$A:$A)))) + 1))</f>
        <v/>
      </c>
      <c r="H265" t="str" cm="1">
        <f t="array" ref="H265">IF(Working!$A265="","",INDEX(Working!$A$2:INDEX(Working!$A:$A, MATCH("zzz", Working!$A:$A)), MOD(ROW()-ROW(H$2)+H$1, COUNTA(Working!$A$2:INDEX(Working!$A:$A, MATCH("zzz", Working!$A:$A)))) + 1))</f>
        <v/>
      </c>
      <c r="I265" t="str" cm="1">
        <f t="array" ref="I265">IF(Working!$A265="","",INDEX(Working!$A$2:INDEX(Working!$A:$A, MATCH("zzz", Working!$A:$A)), MOD(ROW()-ROW(I$2)+I$1, COUNTA(Working!$A$2:INDEX(Working!$A:$A, MATCH("zzz", Working!$A:$A)))) + 1))</f>
        <v/>
      </c>
      <c r="J265" t="str" cm="1">
        <f t="array" ref="J265">IF(Working!$A265="","",INDEX(Working!$A$2:INDEX(Working!$A:$A, MATCH("zzz", Working!$A:$A)), MOD(ROW()-ROW(J$2)+J$1, COUNTA(Working!$A$2:INDEX(Working!$A:$A, MATCH("zzz", Working!$A:$A)))) + 1))</f>
        <v/>
      </c>
      <c r="K265" t="str" cm="1">
        <f t="array" ref="K265">IF(Working!$A265="","",INDEX(Working!$A$2:INDEX(Working!$A:$A, MATCH("zzz", Working!$A:$A)), MOD(ROW()-ROW(K$2)+K$1, COUNTA(Working!$A$2:INDEX(Working!$A:$A, MATCH("zzz", Working!$A:$A)))) + 1))</f>
        <v/>
      </c>
      <c r="L265" t="str" cm="1">
        <f t="array" ref="L265">IF(Working!$A265="","",INDEX(Working!$A$2:INDEX(Working!$A:$A, MATCH("zzz", Working!$A:$A)), MOD(ROW()-ROW(L$2)+L$1, COUNTA(Working!$A$2:INDEX(Working!$A:$A, MATCH("zzz", Working!$A:$A)))) + 1))</f>
        <v/>
      </c>
    </row>
    <row r="266" spans="3:12" ht="15.75" customHeight="1" x14ac:dyDescent="0.2">
      <c r="C266" t="str" cm="1">
        <f t="array" ref="C266">IF(Working!$A266="","",INDEX(Working!$A$2:INDEX(Working!$A:$A, MATCH("zzz", Working!$A:$A)), MOD(ROW()-ROW(C$2)+C$1, COUNTA(Working!$A$2:INDEX(Working!$A:$A, MATCH("zzz", Working!$A:$A)))) + 1))</f>
        <v/>
      </c>
      <c r="D266" t="str" cm="1">
        <f t="array" ref="D266">IF(Working!$A266="","",INDEX(Working!$A$2:INDEX(Working!$A:$A, MATCH("zzz", Working!$A:$A)), MOD(ROW()-ROW(D$2)+D$1, COUNTA(Working!$A$2:INDEX(Working!$A:$A, MATCH("zzz", Working!$A:$A)))) + 1))</f>
        <v/>
      </c>
      <c r="E266" t="str" cm="1">
        <f t="array" ref="E266">IF(Working!$A266="","",INDEX(Working!$A$2:INDEX(Working!$A:$A, MATCH("zzz", Working!$A:$A)), MOD(ROW()-ROW(E$2)+E$1, COUNTA(Working!$A$2:INDEX(Working!$A:$A, MATCH("zzz", Working!$A:$A)))) + 1))</f>
        <v/>
      </c>
      <c r="F266" t="str" cm="1">
        <f t="array" ref="F266">IF(Working!$A266="","",INDEX(Working!$A$2:INDEX(Working!$A:$A, MATCH("zzz", Working!$A:$A)), MOD(ROW()-ROW(F$2)+F$1, COUNTA(Working!$A$2:INDEX(Working!$A:$A, MATCH("zzz", Working!$A:$A)))) + 1))</f>
        <v/>
      </c>
      <c r="G266" t="str" cm="1">
        <f t="array" ref="G266">IF(Working!$A266="","",INDEX(Working!$A$2:INDEX(Working!$A:$A, MATCH("zzz", Working!$A:$A)), MOD(ROW()-ROW(G$2)+G$1, COUNTA(Working!$A$2:INDEX(Working!$A:$A, MATCH("zzz", Working!$A:$A)))) + 1))</f>
        <v/>
      </c>
      <c r="H266" t="str" cm="1">
        <f t="array" ref="H266">IF(Working!$A266="","",INDEX(Working!$A$2:INDEX(Working!$A:$A, MATCH("zzz", Working!$A:$A)), MOD(ROW()-ROW(H$2)+H$1, COUNTA(Working!$A$2:INDEX(Working!$A:$A, MATCH("zzz", Working!$A:$A)))) + 1))</f>
        <v/>
      </c>
      <c r="I266" t="str" cm="1">
        <f t="array" ref="I266">IF(Working!$A266="","",INDEX(Working!$A$2:INDEX(Working!$A:$A, MATCH("zzz", Working!$A:$A)), MOD(ROW()-ROW(I$2)+I$1, COUNTA(Working!$A$2:INDEX(Working!$A:$A, MATCH("zzz", Working!$A:$A)))) + 1))</f>
        <v/>
      </c>
      <c r="J266" t="str" cm="1">
        <f t="array" ref="J266">IF(Working!$A266="","",INDEX(Working!$A$2:INDEX(Working!$A:$A, MATCH("zzz", Working!$A:$A)), MOD(ROW()-ROW(J$2)+J$1, COUNTA(Working!$A$2:INDEX(Working!$A:$A, MATCH("zzz", Working!$A:$A)))) + 1))</f>
        <v/>
      </c>
      <c r="K266" t="str" cm="1">
        <f t="array" ref="K266">IF(Working!$A266="","",INDEX(Working!$A$2:INDEX(Working!$A:$A, MATCH("zzz", Working!$A:$A)), MOD(ROW()-ROW(K$2)+K$1, COUNTA(Working!$A$2:INDEX(Working!$A:$A, MATCH("zzz", Working!$A:$A)))) + 1))</f>
        <v/>
      </c>
      <c r="L266" t="str" cm="1">
        <f t="array" ref="L266">IF(Working!$A266="","",INDEX(Working!$A$2:INDEX(Working!$A:$A, MATCH("zzz", Working!$A:$A)), MOD(ROW()-ROW(L$2)+L$1, COUNTA(Working!$A$2:INDEX(Working!$A:$A, MATCH("zzz", Working!$A:$A)))) + 1))</f>
        <v/>
      </c>
    </row>
    <row r="267" spans="3:12" ht="15.75" customHeight="1" x14ac:dyDescent="0.2">
      <c r="C267" t="str" cm="1">
        <f t="array" ref="C267">IF(Working!$A267="","",INDEX(Working!$A$2:INDEX(Working!$A:$A, MATCH("zzz", Working!$A:$A)), MOD(ROW()-ROW(C$2)+C$1, COUNTA(Working!$A$2:INDEX(Working!$A:$A, MATCH("zzz", Working!$A:$A)))) + 1))</f>
        <v/>
      </c>
      <c r="D267" t="str" cm="1">
        <f t="array" ref="D267">IF(Working!$A267="","",INDEX(Working!$A$2:INDEX(Working!$A:$A, MATCH("zzz", Working!$A:$A)), MOD(ROW()-ROW(D$2)+D$1, COUNTA(Working!$A$2:INDEX(Working!$A:$A, MATCH("zzz", Working!$A:$A)))) + 1))</f>
        <v/>
      </c>
      <c r="E267" t="str" cm="1">
        <f t="array" ref="E267">IF(Working!$A267="","",INDEX(Working!$A$2:INDEX(Working!$A:$A, MATCH("zzz", Working!$A:$A)), MOD(ROW()-ROW(E$2)+E$1, COUNTA(Working!$A$2:INDEX(Working!$A:$A, MATCH("zzz", Working!$A:$A)))) + 1))</f>
        <v/>
      </c>
      <c r="F267" t="str" cm="1">
        <f t="array" ref="F267">IF(Working!$A267="","",INDEX(Working!$A$2:INDEX(Working!$A:$A, MATCH("zzz", Working!$A:$A)), MOD(ROW()-ROW(F$2)+F$1, COUNTA(Working!$A$2:INDEX(Working!$A:$A, MATCH("zzz", Working!$A:$A)))) + 1))</f>
        <v/>
      </c>
      <c r="G267" t="str" cm="1">
        <f t="array" ref="G267">IF(Working!$A267="","",INDEX(Working!$A$2:INDEX(Working!$A:$A, MATCH("zzz", Working!$A:$A)), MOD(ROW()-ROW(G$2)+G$1, COUNTA(Working!$A$2:INDEX(Working!$A:$A, MATCH("zzz", Working!$A:$A)))) + 1))</f>
        <v/>
      </c>
      <c r="H267" t="str" cm="1">
        <f t="array" ref="H267">IF(Working!$A267="","",INDEX(Working!$A$2:INDEX(Working!$A:$A, MATCH("zzz", Working!$A:$A)), MOD(ROW()-ROW(H$2)+H$1, COUNTA(Working!$A$2:INDEX(Working!$A:$A, MATCH("zzz", Working!$A:$A)))) + 1))</f>
        <v/>
      </c>
      <c r="I267" t="str" cm="1">
        <f t="array" ref="I267">IF(Working!$A267="","",INDEX(Working!$A$2:INDEX(Working!$A:$A, MATCH("zzz", Working!$A:$A)), MOD(ROW()-ROW(I$2)+I$1, COUNTA(Working!$A$2:INDEX(Working!$A:$A, MATCH("zzz", Working!$A:$A)))) + 1))</f>
        <v/>
      </c>
      <c r="J267" t="str" cm="1">
        <f t="array" ref="J267">IF(Working!$A267="","",INDEX(Working!$A$2:INDEX(Working!$A:$A, MATCH("zzz", Working!$A:$A)), MOD(ROW()-ROW(J$2)+J$1, COUNTA(Working!$A$2:INDEX(Working!$A:$A, MATCH("zzz", Working!$A:$A)))) + 1))</f>
        <v/>
      </c>
      <c r="K267" t="str" cm="1">
        <f t="array" ref="K267">IF(Working!$A267="","",INDEX(Working!$A$2:INDEX(Working!$A:$A, MATCH("zzz", Working!$A:$A)), MOD(ROW()-ROW(K$2)+K$1, COUNTA(Working!$A$2:INDEX(Working!$A:$A, MATCH("zzz", Working!$A:$A)))) + 1))</f>
        <v/>
      </c>
      <c r="L267" t="str" cm="1">
        <f t="array" ref="L267">IF(Working!$A267="","",INDEX(Working!$A$2:INDEX(Working!$A:$A, MATCH("zzz", Working!$A:$A)), MOD(ROW()-ROW(L$2)+L$1, COUNTA(Working!$A$2:INDEX(Working!$A:$A, MATCH("zzz", Working!$A:$A)))) + 1))</f>
        <v/>
      </c>
    </row>
    <row r="268" spans="3:12" ht="15.75" customHeight="1" x14ac:dyDescent="0.2">
      <c r="C268" t="str" cm="1">
        <f t="array" ref="C268">IF(Working!$A268="","",INDEX(Working!$A$2:INDEX(Working!$A:$A, MATCH("zzz", Working!$A:$A)), MOD(ROW()-ROW(C$2)+C$1, COUNTA(Working!$A$2:INDEX(Working!$A:$A, MATCH("zzz", Working!$A:$A)))) + 1))</f>
        <v/>
      </c>
      <c r="D268" t="str" cm="1">
        <f t="array" ref="D268">IF(Working!$A268="","",INDEX(Working!$A$2:INDEX(Working!$A:$A, MATCH("zzz", Working!$A:$A)), MOD(ROW()-ROW(D$2)+D$1, COUNTA(Working!$A$2:INDEX(Working!$A:$A, MATCH("zzz", Working!$A:$A)))) + 1))</f>
        <v/>
      </c>
      <c r="E268" t="str" cm="1">
        <f t="array" ref="E268">IF(Working!$A268="","",INDEX(Working!$A$2:INDEX(Working!$A:$A, MATCH("zzz", Working!$A:$A)), MOD(ROW()-ROW(E$2)+E$1, COUNTA(Working!$A$2:INDEX(Working!$A:$A, MATCH("zzz", Working!$A:$A)))) + 1))</f>
        <v/>
      </c>
      <c r="F268" t="str" cm="1">
        <f t="array" ref="F268">IF(Working!$A268="","",INDEX(Working!$A$2:INDEX(Working!$A:$A, MATCH("zzz", Working!$A:$A)), MOD(ROW()-ROW(F$2)+F$1, COUNTA(Working!$A$2:INDEX(Working!$A:$A, MATCH("zzz", Working!$A:$A)))) + 1))</f>
        <v/>
      </c>
      <c r="G268" t="str" cm="1">
        <f t="array" ref="G268">IF(Working!$A268="","",INDEX(Working!$A$2:INDEX(Working!$A:$A, MATCH("zzz", Working!$A:$A)), MOD(ROW()-ROW(G$2)+G$1, COUNTA(Working!$A$2:INDEX(Working!$A:$A, MATCH("zzz", Working!$A:$A)))) + 1))</f>
        <v/>
      </c>
      <c r="H268" t="str" cm="1">
        <f t="array" ref="H268">IF(Working!$A268="","",INDEX(Working!$A$2:INDEX(Working!$A:$A, MATCH("zzz", Working!$A:$A)), MOD(ROW()-ROW(H$2)+H$1, COUNTA(Working!$A$2:INDEX(Working!$A:$A, MATCH("zzz", Working!$A:$A)))) + 1))</f>
        <v/>
      </c>
      <c r="I268" t="str" cm="1">
        <f t="array" ref="I268">IF(Working!$A268="","",INDEX(Working!$A$2:INDEX(Working!$A:$A, MATCH("zzz", Working!$A:$A)), MOD(ROW()-ROW(I$2)+I$1, COUNTA(Working!$A$2:INDEX(Working!$A:$A, MATCH("zzz", Working!$A:$A)))) + 1))</f>
        <v/>
      </c>
      <c r="J268" t="str" cm="1">
        <f t="array" ref="J268">IF(Working!$A268="","",INDEX(Working!$A$2:INDEX(Working!$A:$A, MATCH("zzz", Working!$A:$A)), MOD(ROW()-ROW(J$2)+J$1, COUNTA(Working!$A$2:INDEX(Working!$A:$A, MATCH("zzz", Working!$A:$A)))) + 1))</f>
        <v/>
      </c>
      <c r="K268" t="str" cm="1">
        <f t="array" ref="K268">IF(Working!$A268="","",INDEX(Working!$A$2:INDEX(Working!$A:$A, MATCH("zzz", Working!$A:$A)), MOD(ROW()-ROW(K$2)+K$1, COUNTA(Working!$A$2:INDEX(Working!$A:$A, MATCH("zzz", Working!$A:$A)))) + 1))</f>
        <v/>
      </c>
      <c r="L268" t="str" cm="1">
        <f t="array" ref="L268">IF(Working!$A268="","",INDEX(Working!$A$2:INDEX(Working!$A:$A, MATCH("zzz", Working!$A:$A)), MOD(ROW()-ROW(L$2)+L$1, COUNTA(Working!$A$2:INDEX(Working!$A:$A, MATCH("zzz", Working!$A:$A)))) + 1))</f>
        <v/>
      </c>
    </row>
    <row r="269" spans="3:12" ht="15.75" customHeight="1" x14ac:dyDescent="0.2">
      <c r="C269" t="str" cm="1">
        <f t="array" ref="C269">IF(Working!$A269="","",INDEX(Working!$A$2:INDEX(Working!$A:$A, MATCH("zzz", Working!$A:$A)), MOD(ROW()-ROW(C$2)+C$1, COUNTA(Working!$A$2:INDEX(Working!$A:$A, MATCH("zzz", Working!$A:$A)))) + 1))</f>
        <v/>
      </c>
      <c r="D269" t="str" cm="1">
        <f t="array" ref="D269">IF(Working!$A269="","",INDEX(Working!$A$2:INDEX(Working!$A:$A, MATCH("zzz", Working!$A:$A)), MOD(ROW()-ROW(D$2)+D$1, COUNTA(Working!$A$2:INDEX(Working!$A:$A, MATCH("zzz", Working!$A:$A)))) + 1))</f>
        <v/>
      </c>
      <c r="E269" t="str" cm="1">
        <f t="array" ref="E269">IF(Working!$A269="","",INDEX(Working!$A$2:INDEX(Working!$A:$A, MATCH("zzz", Working!$A:$A)), MOD(ROW()-ROW(E$2)+E$1, COUNTA(Working!$A$2:INDEX(Working!$A:$A, MATCH("zzz", Working!$A:$A)))) + 1))</f>
        <v/>
      </c>
      <c r="F269" t="str" cm="1">
        <f t="array" ref="F269">IF(Working!$A269="","",INDEX(Working!$A$2:INDEX(Working!$A:$A, MATCH("zzz", Working!$A:$A)), MOD(ROW()-ROW(F$2)+F$1, COUNTA(Working!$A$2:INDEX(Working!$A:$A, MATCH("zzz", Working!$A:$A)))) + 1))</f>
        <v/>
      </c>
      <c r="G269" t="str" cm="1">
        <f t="array" ref="G269">IF(Working!$A269="","",INDEX(Working!$A$2:INDEX(Working!$A:$A, MATCH("zzz", Working!$A:$A)), MOD(ROW()-ROW(G$2)+G$1, COUNTA(Working!$A$2:INDEX(Working!$A:$A, MATCH("zzz", Working!$A:$A)))) + 1))</f>
        <v/>
      </c>
      <c r="H269" t="str" cm="1">
        <f t="array" ref="H269">IF(Working!$A269="","",INDEX(Working!$A$2:INDEX(Working!$A:$A, MATCH("zzz", Working!$A:$A)), MOD(ROW()-ROW(H$2)+H$1, COUNTA(Working!$A$2:INDEX(Working!$A:$A, MATCH("zzz", Working!$A:$A)))) + 1))</f>
        <v/>
      </c>
      <c r="I269" t="str" cm="1">
        <f t="array" ref="I269">IF(Working!$A269="","",INDEX(Working!$A$2:INDEX(Working!$A:$A, MATCH("zzz", Working!$A:$A)), MOD(ROW()-ROW(I$2)+I$1, COUNTA(Working!$A$2:INDEX(Working!$A:$A, MATCH("zzz", Working!$A:$A)))) + 1))</f>
        <v/>
      </c>
      <c r="J269" t="str" cm="1">
        <f t="array" ref="J269">IF(Working!$A269="","",INDEX(Working!$A$2:INDEX(Working!$A:$A, MATCH("zzz", Working!$A:$A)), MOD(ROW()-ROW(J$2)+J$1, COUNTA(Working!$A$2:INDEX(Working!$A:$A, MATCH("zzz", Working!$A:$A)))) + 1))</f>
        <v/>
      </c>
      <c r="K269" t="str" cm="1">
        <f t="array" ref="K269">IF(Working!$A269="","",INDEX(Working!$A$2:INDEX(Working!$A:$A, MATCH("zzz", Working!$A:$A)), MOD(ROW()-ROW(K$2)+K$1, COUNTA(Working!$A$2:INDEX(Working!$A:$A, MATCH("zzz", Working!$A:$A)))) + 1))</f>
        <v/>
      </c>
      <c r="L269" t="str" cm="1">
        <f t="array" ref="L269">IF(Working!$A269="","",INDEX(Working!$A$2:INDEX(Working!$A:$A, MATCH("zzz", Working!$A:$A)), MOD(ROW()-ROW(L$2)+L$1, COUNTA(Working!$A$2:INDEX(Working!$A:$A, MATCH("zzz", Working!$A:$A)))) + 1))</f>
        <v/>
      </c>
    </row>
    <row r="270" spans="3:12" ht="15.75" customHeight="1" x14ac:dyDescent="0.2">
      <c r="C270" t="str" cm="1">
        <f t="array" ref="C270">IF(Working!$A270="","",INDEX(Working!$A$2:INDEX(Working!$A:$A, MATCH("zzz", Working!$A:$A)), MOD(ROW()-ROW(C$2)+C$1, COUNTA(Working!$A$2:INDEX(Working!$A:$A, MATCH("zzz", Working!$A:$A)))) + 1))</f>
        <v/>
      </c>
      <c r="D270" t="str" cm="1">
        <f t="array" ref="D270">IF(Working!$A270="","",INDEX(Working!$A$2:INDEX(Working!$A:$A, MATCH("zzz", Working!$A:$A)), MOD(ROW()-ROW(D$2)+D$1, COUNTA(Working!$A$2:INDEX(Working!$A:$A, MATCH("zzz", Working!$A:$A)))) + 1))</f>
        <v/>
      </c>
      <c r="E270" t="str" cm="1">
        <f t="array" ref="E270">IF(Working!$A270="","",INDEX(Working!$A$2:INDEX(Working!$A:$A, MATCH("zzz", Working!$A:$A)), MOD(ROW()-ROW(E$2)+E$1, COUNTA(Working!$A$2:INDEX(Working!$A:$A, MATCH("zzz", Working!$A:$A)))) + 1))</f>
        <v/>
      </c>
      <c r="F270" t="str" cm="1">
        <f t="array" ref="F270">IF(Working!$A270="","",INDEX(Working!$A$2:INDEX(Working!$A:$A, MATCH("zzz", Working!$A:$A)), MOD(ROW()-ROW(F$2)+F$1, COUNTA(Working!$A$2:INDEX(Working!$A:$A, MATCH("zzz", Working!$A:$A)))) + 1))</f>
        <v/>
      </c>
      <c r="G270" t="str" cm="1">
        <f t="array" ref="G270">IF(Working!$A270="","",INDEX(Working!$A$2:INDEX(Working!$A:$A, MATCH("zzz", Working!$A:$A)), MOD(ROW()-ROW(G$2)+G$1, COUNTA(Working!$A$2:INDEX(Working!$A:$A, MATCH("zzz", Working!$A:$A)))) + 1))</f>
        <v/>
      </c>
      <c r="H270" t="str" cm="1">
        <f t="array" ref="H270">IF(Working!$A270="","",INDEX(Working!$A$2:INDEX(Working!$A:$A, MATCH("zzz", Working!$A:$A)), MOD(ROW()-ROW(H$2)+H$1, COUNTA(Working!$A$2:INDEX(Working!$A:$A, MATCH("zzz", Working!$A:$A)))) + 1))</f>
        <v/>
      </c>
      <c r="I270" t="str" cm="1">
        <f t="array" ref="I270">IF(Working!$A270="","",INDEX(Working!$A$2:INDEX(Working!$A:$A, MATCH("zzz", Working!$A:$A)), MOD(ROW()-ROW(I$2)+I$1, COUNTA(Working!$A$2:INDEX(Working!$A:$A, MATCH("zzz", Working!$A:$A)))) + 1))</f>
        <v/>
      </c>
      <c r="J270" t="str" cm="1">
        <f t="array" ref="J270">IF(Working!$A270="","",INDEX(Working!$A$2:INDEX(Working!$A:$A, MATCH("zzz", Working!$A:$A)), MOD(ROW()-ROW(J$2)+J$1, COUNTA(Working!$A$2:INDEX(Working!$A:$A, MATCH("zzz", Working!$A:$A)))) + 1))</f>
        <v/>
      </c>
      <c r="K270" t="str" cm="1">
        <f t="array" ref="K270">IF(Working!$A270="","",INDEX(Working!$A$2:INDEX(Working!$A:$A, MATCH("zzz", Working!$A:$A)), MOD(ROW()-ROW(K$2)+K$1, COUNTA(Working!$A$2:INDEX(Working!$A:$A, MATCH("zzz", Working!$A:$A)))) + 1))</f>
        <v/>
      </c>
      <c r="L270" t="str" cm="1">
        <f t="array" ref="L270">IF(Working!$A270="","",INDEX(Working!$A$2:INDEX(Working!$A:$A, MATCH("zzz", Working!$A:$A)), MOD(ROW()-ROW(L$2)+L$1, COUNTA(Working!$A$2:INDEX(Working!$A:$A, MATCH("zzz", Working!$A:$A)))) + 1))</f>
        <v/>
      </c>
    </row>
    <row r="271" spans="3:12" ht="15.75" customHeight="1" x14ac:dyDescent="0.2">
      <c r="C271" t="str" cm="1">
        <f t="array" ref="C271">IF(Working!$A271="","",INDEX(Working!$A$2:INDEX(Working!$A:$A, MATCH("zzz", Working!$A:$A)), MOD(ROW()-ROW(C$2)+C$1, COUNTA(Working!$A$2:INDEX(Working!$A:$A, MATCH("zzz", Working!$A:$A)))) + 1))</f>
        <v/>
      </c>
      <c r="D271" t="str" cm="1">
        <f t="array" ref="D271">IF(Working!$A271="","",INDEX(Working!$A$2:INDEX(Working!$A:$A, MATCH("zzz", Working!$A:$A)), MOD(ROW()-ROW(D$2)+D$1, COUNTA(Working!$A$2:INDEX(Working!$A:$A, MATCH("zzz", Working!$A:$A)))) + 1))</f>
        <v/>
      </c>
      <c r="E271" t="str" cm="1">
        <f t="array" ref="E271">IF(Working!$A271="","",INDEX(Working!$A$2:INDEX(Working!$A:$A, MATCH("zzz", Working!$A:$A)), MOD(ROW()-ROW(E$2)+E$1, COUNTA(Working!$A$2:INDEX(Working!$A:$A, MATCH("zzz", Working!$A:$A)))) + 1))</f>
        <v/>
      </c>
      <c r="F271" t="str" cm="1">
        <f t="array" ref="F271">IF(Working!$A271="","",INDEX(Working!$A$2:INDEX(Working!$A:$A, MATCH("zzz", Working!$A:$A)), MOD(ROW()-ROW(F$2)+F$1, COUNTA(Working!$A$2:INDEX(Working!$A:$A, MATCH("zzz", Working!$A:$A)))) + 1))</f>
        <v/>
      </c>
      <c r="G271" t="str" cm="1">
        <f t="array" ref="G271">IF(Working!$A271="","",INDEX(Working!$A$2:INDEX(Working!$A:$A, MATCH("zzz", Working!$A:$A)), MOD(ROW()-ROW(G$2)+G$1, COUNTA(Working!$A$2:INDEX(Working!$A:$A, MATCH("zzz", Working!$A:$A)))) + 1))</f>
        <v/>
      </c>
      <c r="H271" t="str" cm="1">
        <f t="array" ref="H271">IF(Working!$A271="","",INDEX(Working!$A$2:INDEX(Working!$A:$A, MATCH("zzz", Working!$A:$A)), MOD(ROW()-ROW(H$2)+H$1, COUNTA(Working!$A$2:INDEX(Working!$A:$A, MATCH("zzz", Working!$A:$A)))) + 1))</f>
        <v/>
      </c>
      <c r="I271" t="str" cm="1">
        <f t="array" ref="I271">IF(Working!$A271="","",INDEX(Working!$A$2:INDEX(Working!$A:$A, MATCH("zzz", Working!$A:$A)), MOD(ROW()-ROW(I$2)+I$1, COUNTA(Working!$A$2:INDEX(Working!$A:$A, MATCH("zzz", Working!$A:$A)))) + 1))</f>
        <v/>
      </c>
      <c r="J271" t="str" cm="1">
        <f t="array" ref="J271">IF(Working!$A271="","",INDEX(Working!$A$2:INDEX(Working!$A:$A, MATCH("zzz", Working!$A:$A)), MOD(ROW()-ROW(J$2)+J$1, COUNTA(Working!$A$2:INDEX(Working!$A:$A, MATCH("zzz", Working!$A:$A)))) + 1))</f>
        <v/>
      </c>
      <c r="K271" t="str" cm="1">
        <f t="array" ref="K271">IF(Working!$A271="","",INDEX(Working!$A$2:INDEX(Working!$A:$A, MATCH("zzz", Working!$A:$A)), MOD(ROW()-ROW(K$2)+K$1, COUNTA(Working!$A$2:INDEX(Working!$A:$A, MATCH("zzz", Working!$A:$A)))) + 1))</f>
        <v/>
      </c>
      <c r="L271" t="str" cm="1">
        <f t="array" ref="L271">IF(Working!$A271="","",INDEX(Working!$A$2:INDEX(Working!$A:$A, MATCH("zzz", Working!$A:$A)), MOD(ROW()-ROW(L$2)+L$1, COUNTA(Working!$A$2:INDEX(Working!$A:$A, MATCH("zzz", Working!$A:$A)))) + 1))</f>
        <v/>
      </c>
    </row>
    <row r="272" spans="3:12" ht="15.75" customHeight="1" x14ac:dyDescent="0.2">
      <c r="C272" t="str" cm="1">
        <f t="array" ref="C272">IF(Working!$A272="","",INDEX(Working!$A$2:INDEX(Working!$A:$A, MATCH("zzz", Working!$A:$A)), MOD(ROW()-ROW(C$2)+C$1, COUNTA(Working!$A$2:INDEX(Working!$A:$A, MATCH("zzz", Working!$A:$A)))) + 1))</f>
        <v/>
      </c>
      <c r="D272" t="str" cm="1">
        <f t="array" ref="D272">IF(Working!$A272="","",INDEX(Working!$A$2:INDEX(Working!$A:$A, MATCH("zzz", Working!$A:$A)), MOD(ROW()-ROW(D$2)+D$1, COUNTA(Working!$A$2:INDEX(Working!$A:$A, MATCH("zzz", Working!$A:$A)))) + 1))</f>
        <v/>
      </c>
      <c r="E272" t="str" cm="1">
        <f t="array" ref="E272">IF(Working!$A272="","",INDEX(Working!$A$2:INDEX(Working!$A:$A, MATCH("zzz", Working!$A:$A)), MOD(ROW()-ROW(E$2)+E$1, COUNTA(Working!$A$2:INDEX(Working!$A:$A, MATCH("zzz", Working!$A:$A)))) + 1))</f>
        <v/>
      </c>
      <c r="F272" t="str" cm="1">
        <f t="array" ref="F272">IF(Working!$A272="","",INDEX(Working!$A$2:INDEX(Working!$A:$A, MATCH("zzz", Working!$A:$A)), MOD(ROW()-ROW(F$2)+F$1, COUNTA(Working!$A$2:INDEX(Working!$A:$A, MATCH("zzz", Working!$A:$A)))) + 1))</f>
        <v/>
      </c>
      <c r="G272" t="str" cm="1">
        <f t="array" ref="G272">IF(Working!$A272="","",INDEX(Working!$A$2:INDEX(Working!$A:$A, MATCH("zzz", Working!$A:$A)), MOD(ROW()-ROW(G$2)+G$1, COUNTA(Working!$A$2:INDEX(Working!$A:$A, MATCH("zzz", Working!$A:$A)))) + 1))</f>
        <v/>
      </c>
      <c r="H272" t="str" cm="1">
        <f t="array" ref="H272">IF(Working!$A272="","",INDEX(Working!$A$2:INDEX(Working!$A:$A, MATCH("zzz", Working!$A:$A)), MOD(ROW()-ROW(H$2)+H$1, COUNTA(Working!$A$2:INDEX(Working!$A:$A, MATCH("zzz", Working!$A:$A)))) + 1))</f>
        <v/>
      </c>
      <c r="I272" t="str" cm="1">
        <f t="array" ref="I272">IF(Working!$A272="","",INDEX(Working!$A$2:INDEX(Working!$A:$A, MATCH("zzz", Working!$A:$A)), MOD(ROW()-ROW(I$2)+I$1, COUNTA(Working!$A$2:INDEX(Working!$A:$A, MATCH("zzz", Working!$A:$A)))) + 1))</f>
        <v/>
      </c>
      <c r="J272" t="str" cm="1">
        <f t="array" ref="J272">IF(Working!$A272="","",INDEX(Working!$A$2:INDEX(Working!$A:$A, MATCH("zzz", Working!$A:$A)), MOD(ROW()-ROW(J$2)+J$1, COUNTA(Working!$A$2:INDEX(Working!$A:$A, MATCH("zzz", Working!$A:$A)))) + 1))</f>
        <v/>
      </c>
      <c r="K272" t="str" cm="1">
        <f t="array" ref="K272">IF(Working!$A272="","",INDEX(Working!$A$2:INDEX(Working!$A:$A, MATCH("zzz", Working!$A:$A)), MOD(ROW()-ROW(K$2)+K$1, COUNTA(Working!$A$2:INDEX(Working!$A:$A, MATCH("zzz", Working!$A:$A)))) + 1))</f>
        <v/>
      </c>
      <c r="L272" t="str" cm="1">
        <f t="array" ref="L272">IF(Working!$A272="","",INDEX(Working!$A$2:INDEX(Working!$A:$A, MATCH("zzz", Working!$A:$A)), MOD(ROW()-ROW(L$2)+L$1, COUNTA(Working!$A$2:INDEX(Working!$A:$A, MATCH("zzz", Working!$A:$A)))) + 1))</f>
        <v/>
      </c>
    </row>
    <row r="273" spans="3:12" ht="15.75" customHeight="1" x14ac:dyDescent="0.2">
      <c r="C273" t="str" cm="1">
        <f t="array" ref="C273">IF(Working!$A273="","",INDEX(Working!$A$2:INDEX(Working!$A:$A, MATCH("zzz", Working!$A:$A)), MOD(ROW()-ROW(C$2)+C$1, COUNTA(Working!$A$2:INDEX(Working!$A:$A, MATCH("zzz", Working!$A:$A)))) + 1))</f>
        <v/>
      </c>
      <c r="D273" t="str" cm="1">
        <f t="array" ref="D273">IF(Working!$A273="","",INDEX(Working!$A$2:INDEX(Working!$A:$A, MATCH("zzz", Working!$A:$A)), MOD(ROW()-ROW(D$2)+D$1, COUNTA(Working!$A$2:INDEX(Working!$A:$A, MATCH("zzz", Working!$A:$A)))) + 1))</f>
        <v/>
      </c>
      <c r="E273" t="str" cm="1">
        <f t="array" ref="E273">IF(Working!$A273="","",INDEX(Working!$A$2:INDEX(Working!$A:$A, MATCH("zzz", Working!$A:$A)), MOD(ROW()-ROW(E$2)+E$1, COUNTA(Working!$A$2:INDEX(Working!$A:$A, MATCH("zzz", Working!$A:$A)))) + 1))</f>
        <v/>
      </c>
      <c r="F273" t="str" cm="1">
        <f t="array" ref="F273">IF(Working!$A273="","",INDEX(Working!$A$2:INDEX(Working!$A:$A, MATCH("zzz", Working!$A:$A)), MOD(ROW()-ROW(F$2)+F$1, COUNTA(Working!$A$2:INDEX(Working!$A:$A, MATCH("zzz", Working!$A:$A)))) + 1))</f>
        <v/>
      </c>
      <c r="G273" t="str" cm="1">
        <f t="array" ref="G273">IF(Working!$A273="","",INDEX(Working!$A$2:INDEX(Working!$A:$A, MATCH("zzz", Working!$A:$A)), MOD(ROW()-ROW(G$2)+G$1, COUNTA(Working!$A$2:INDEX(Working!$A:$A, MATCH("zzz", Working!$A:$A)))) + 1))</f>
        <v/>
      </c>
      <c r="H273" t="str" cm="1">
        <f t="array" ref="H273">IF(Working!$A273="","",INDEX(Working!$A$2:INDEX(Working!$A:$A, MATCH("zzz", Working!$A:$A)), MOD(ROW()-ROW(H$2)+H$1, COUNTA(Working!$A$2:INDEX(Working!$A:$A, MATCH("zzz", Working!$A:$A)))) + 1))</f>
        <v/>
      </c>
      <c r="I273" t="str" cm="1">
        <f t="array" ref="I273">IF(Working!$A273="","",INDEX(Working!$A$2:INDEX(Working!$A:$A, MATCH("zzz", Working!$A:$A)), MOD(ROW()-ROW(I$2)+I$1, COUNTA(Working!$A$2:INDEX(Working!$A:$A, MATCH("zzz", Working!$A:$A)))) + 1))</f>
        <v/>
      </c>
      <c r="J273" t="str" cm="1">
        <f t="array" ref="J273">IF(Working!$A273="","",INDEX(Working!$A$2:INDEX(Working!$A:$A, MATCH("zzz", Working!$A:$A)), MOD(ROW()-ROW(J$2)+J$1, COUNTA(Working!$A$2:INDEX(Working!$A:$A, MATCH("zzz", Working!$A:$A)))) + 1))</f>
        <v/>
      </c>
      <c r="K273" t="str" cm="1">
        <f t="array" ref="K273">IF(Working!$A273="","",INDEX(Working!$A$2:INDEX(Working!$A:$A, MATCH("zzz", Working!$A:$A)), MOD(ROW()-ROW(K$2)+K$1, COUNTA(Working!$A$2:INDEX(Working!$A:$A, MATCH("zzz", Working!$A:$A)))) + 1))</f>
        <v/>
      </c>
      <c r="L273" t="str" cm="1">
        <f t="array" ref="L273">IF(Working!$A273="","",INDEX(Working!$A$2:INDEX(Working!$A:$A, MATCH("zzz", Working!$A:$A)), MOD(ROW()-ROW(L$2)+L$1, COUNTA(Working!$A$2:INDEX(Working!$A:$A, MATCH("zzz", Working!$A:$A)))) + 1))</f>
        <v/>
      </c>
    </row>
    <row r="274" spans="3:12" ht="15.75" customHeight="1" x14ac:dyDescent="0.2">
      <c r="C274" t="str" cm="1">
        <f t="array" ref="C274">IF(Working!$A274="","",INDEX(Working!$A$2:INDEX(Working!$A:$A, MATCH("zzz", Working!$A:$A)), MOD(ROW()-ROW(C$2)+C$1, COUNTA(Working!$A$2:INDEX(Working!$A:$A, MATCH("zzz", Working!$A:$A)))) + 1))</f>
        <v/>
      </c>
      <c r="D274" t="str" cm="1">
        <f t="array" ref="D274">IF(Working!$A274="","",INDEX(Working!$A$2:INDEX(Working!$A:$A, MATCH("zzz", Working!$A:$A)), MOD(ROW()-ROW(D$2)+D$1, COUNTA(Working!$A$2:INDEX(Working!$A:$A, MATCH("zzz", Working!$A:$A)))) + 1))</f>
        <v/>
      </c>
      <c r="E274" t="str" cm="1">
        <f t="array" ref="E274">IF(Working!$A274="","",INDEX(Working!$A$2:INDEX(Working!$A:$A, MATCH("zzz", Working!$A:$A)), MOD(ROW()-ROW(E$2)+E$1, COUNTA(Working!$A$2:INDEX(Working!$A:$A, MATCH("zzz", Working!$A:$A)))) + 1))</f>
        <v/>
      </c>
      <c r="F274" t="str" cm="1">
        <f t="array" ref="F274">IF(Working!$A274="","",INDEX(Working!$A$2:INDEX(Working!$A:$A, MATCH("zzz", Working!$A:$A)), MOD(ROW()-ROW(F$2)+F$1, COUNTA(Working!$A$2:INDEX(Working!$A:$A, MATCH("zzz", Working!$A:$A)))) + 1))</f>
        <v/>
      </c>
      <c r="G274" t="str" cm="1">
        <f t="array" ref="G274">IF(Working!$A274="","",INDEX(Working!$A$2:INDEX(Working!$A:$A, MATCH("zzz", Working!$A:$A)), MOD(ROW()-ROW(G$2)+G$1, COUNTA(Working!$A$2:INDEX(Working!$A:$A, MATCH("zzz", Working!$A:$A)))) + 1))</f>
        <v/>
      </c>
      <c r="H274" t="str" cm="1">
        <f t="array" ref="H274">IF(Working!$A274="","",INDEX(Working!$A$2:INDEX(Working!$A:$A, MATCH("zzz", Working!$A:$A)), MOD(ROW()-ROW(H$2)+H$1, COUNTA(Working!$A$2:INDEX(Working!$A:$A, MATCH("zzz", Working!$A:$A)))) + 1))</f>
        <v/>
      </c>
      <c r="I274" t="str" cm="1">
        <f t="array" ref="I274">IF(Working!$A274="","",INDEX(Working!$A$2:INDEX(Working!$A:$A, MATCH("zzz", Working!$A:$A)), MOD(ROW()-ROW(I$2)+I$1, COUNTA(Working!$A$2:INDEX(Working!$A:$A, MATCH("zzz", Working!$A:$A)))) + 1))</f>
        <v/>
      </c>
      <c r="J274" t="str" cm="1">
        <f t="array" ref="J274">IF(Working!$A274="","",INDEX(Working!$A$2:INDEX(Working!$A:$A, MATCH("zzz", Working!$A:$A)), MOD(ROW()-ROW(J$2)+J$1, COUNTA(Working!$A$2:INDEX(Working!$A:$A, MATCH("zzz", Working!$A:$A)))) + 1))</f>
        <v/>
      </c>
      <c r="K274" t="str" cm="1">
        <f t="array" ref="K274">IF(Working!$A274="","",INDEX(Working!$A$2:INDEX(Working!$A:$A, MATCH("zzz", Working!$A:$A)), MOD(ROW()-ROW(K$2)+K$1, COUNTA(Working!$A$2:INDEX(Working!$A:$A, MATCH("zzz", Working!$A:$A)))) + 1))</f>
        <v/>
      </c>
      <c r="L274" t="str" cm="1">
        <f t="array" ref="L274">IF(Working!$A274="","",INDEX(Working!$A$2:INDEX(Working!$A:$A, MATCH("zzz", Working!$A:$A)), MOD(ROW()-ROW(L$2)+L$1, COUNTA(Working!$A$2:INDEX(Working!$A:$A, MATCH("zzz", Working!$A:$A)))) + 1))</f>
        <v/>
      </c>
    </row>
    <row r="275" spans="3:12" ht="15.75" customHeight="1" x14ac:dyDescent="0.2">
      <c r="C275" t="str" cm="1">
        <f t="array" ref="C275">IF(Working!$A275="","",INDEX(Working!$A$2:INDEX(Working!$A:$A, MATCH("zzz", Working!$A:$A)), MOD(ROW()-ROW(C$2)+C$1, COUNTA(Working!$A$2:INDEX(Working!$A:$A, MATCH("zzz", Working!$A:$A)))) + 1))</f>
        <v/>
      </c>
      <c r="D275" t="str" cm="1">
        <f t="array" ref="D275">IF(Working!$A275="","",INDEX(Working!$A$2:INDEX(Working!$A:$A, MATCH("zzz", Working!$A:$A)), MOD(ROW()-ROW(D$2)+D$1, COUNTA(Working!$A$2:INDEX(Working!$A:$A, MATCH("zzz", Working!$A:$A)))) + 1))</f>
        <v/>
      </c>
      <c r="E275" t="str" cm="1">
        <f t="array" ref="E275">IF(Working!$A275="","",INDEX(Working!$A$2:INDEX(Working!$A:$A, MATCH("zzz", Working!$A:$A)), MOD(ROW()-ROW(E$2)+E$1, COUNTA(Working!$A$2:INDEX(Working!$A:$A, MATCH("zzz", Working!$A:$A)))) + 1))</f>
        <v/>
      </c>
      <c r="F275" t="str" cm="1">
        <f t="array" ref="F275">IF(Working!$A275="","",INDEX(Working!$A$2:INDEX(Working!$A:$A, MATCH("zzz", Working!$A:$A)), MOD(ROW()-ROW(F$2)+F$1, COUNTA(Working!$A$2:INDEX(Working!$A:$A, MATCH("zzz", Working!$A:$A)))) + 1))</f>
        <v/>
      </c>
      <c r="G275" t="str" cm="1">
        <f t="array" ref="G275">IF(Working!$A275="","",INDEX(Working!$A$2:INDEX(Working!$A:$A, MATCH("zzz", Working!$A:$A)), MOD(ROW()-ROW(G$2)+G$1, COUNTA(Working!$A$2:INDEX(Working!$A:$A, MATCH("zzz", Working!$A:$A)))) + 1))</f>
        <v/>
      </c>
      <c r="H275" t="str" cm="1">
        <f t="array" ref="H275">IF(Working!$A275="","",INDEX(Working!$A$2:INDEX(Working!$A:$A, MATCH("zzz", Working!$A:$A)), MOD(ROW()-ROW(H$2)+H$1, COUNTA(Working!$A$2:INDEX(Working!$A:$A, MATCH("zzz", Working!$A:$A)))) + 1))</f>
        <v/>
      </c>
      <c r="I275" t="str" cm="1">
        <f t="array" ref="I275">IF(Working!$A275="","",INDEX(Working!$A$2:INDEX(Working!$A:$A, MATCH("zzz", Working!$A:$A)), MOD(ROW()-ROW(I$2)+I$1, COUNTA(Working!$A$2:INDEX(Working!$A:$A, MATCH("zzz", Working!$A:$A)))) + 1))</f>
        <v/>
      </c>
      <c r="J275" t="str" cm="1">
        <f t="array" ref="J275">IF(Working!$A275="","",INDEX(Working!$A$2:INDEX(Working!$A:$A, MATCH("zzz", Working!$A:$A)), MOD(ROW()-ROW(J$2)+J$1, COUNTA(Working!$A$2:INDEX(Working!$A:$A, MATCH("zzz", Working!$A:$A)))) + 1))</f>
        <v/>
      </c>
      <c r="K275" t="str" cm="1">
        <f t="array" ref="K275">IF(Working!$A275="","",INDEX(Working!$A$2:INDEX(Working!$A:$A, MATCH("zzz", Working!$A:$A)), MOD(ROW()-ROW(K$2)+K$1, COUNTA(Working!$A$2:INDEX(Working!$A:$A, MATCH("zzz", Working!$A:$A)))) + 1))</f>
        <v/>
      </c>
      <c r="L275" t="str" cm="1">
        <f t="array" ref="L275">IF(Working!$A275="","",INDEX(Working!$A$2:INDEX(Working!$A:$A, MATCH("zzz", Working!$A:$A)), MOD(ROW()-ROW(L$2)+L$1, COUNTA(Working!$A$2:INDEX(Working!$A:$A, MATCH("zzz", Working!$A:$A)))) + 1))</f>
        <v/>
      </c>
    </row>
    <row r="276" spans="3:12" ht="15.75" customHeight="1" x14ac:dyDescent="0.2">
      <c r="C276" t="str" cm="1">
        <f t="array" ref="C276">IF(Working!$A276="","",INDEX(Working!$A$2:INDEX(Working!$A:$A, MATCH("zzz", Working!$A:$A)), MOD(ROW()-ROW(C$2)+C$1, COUNTA(Working!$A$2:INDEX(Working!$A:$A, MATCH("zzz", Working!$A:$A)))) + 1))</f>
        <v/>
      </c>
      <c r="D276" t="str" cm="1">
        <f t="array" ref="D276">IF(Working!$A276="","",INDEX(Working!$A$2:INDEX(Working!$A:$A, MATCH("zzz", Working!$A:$A)), MOD(ROW()-ROW(D$2)+D$1, COUNTA(Working!$A$2:INDEX(Working!$A:$A, MATCH("zzz", Working!$A:$A)))) + 1))</f>
        <v/>
      </c>
      <c r="E276" t="str" cm="1">
        <f t="array" ref="E276">IF(Working!$A276="","",INDEX(Working!$A$2:INDEX(Working!$A:$A, MATCH("zzz", Working!$A:$A)), MOD(ROW()-ROW(E$2)+E$1, COUNTA(Working!$A$2:INDEX(Working!$A:$A, MATCH("zzz", Working!$A:$A)))) + 1))</f>
        <v/>
      </c>
      <c r="F276" t="str" cm="1">
        <f t="array" ref="F276">IF(Working!$A276="","",INDEX(Working!$A$2:INDEX(Working!$A:$A, MATCH("zzz", Working!$A:$A)), MOD(ROW()-ROW(F$2)+F$1, COUNTA(Working!$A$2:INDEX(Working!$A:$A, MATCH("zzz", Working!$A:$A)))) + 1))</f>
        <v/>
      </c>
      <c r="G276" t="str" cm="1">
        <f t="array" ref="G276">IF(Working!$A276="","",INDEX(Working!$A$2:INDEX(Working!$A:$A, MATCH("zzz", Working!$A:$A)), MOD(ROW()-ROW(G$2)+G$1, COUNTA(Working!$A$2:INDEX(Working!$A:$A, MATCH("zzz", Working!$A:$A)))) + 1))</f>
        <v/>
      </c>
      <c r="H276" t="str" cm="1">
        <f t="array" ref="H276">IF(Working!$A276="","",INDEX(Working!$A$2:INDEX(Working!$A:$A, MATCH("zzz", Working!$A:$A)), MOD(ROW()-ROW(H$2)+H$1, COUNTA(Working!$A$2:INDEX(Working!$A:$A, MATCH("zzz", Working!$A:$A)))) + 1))</f>
        <v/>
      </c>
      <c r="I276" t="str" cm="1">
        <f t="array" ref="I276">IF(Working!$A276="","",INDEX(Working!$A$2:INDEX(Working!$A:$A, MATCH("zzz", Working!$A:$A)), MOD(ROW()-ROW(I$2)+I$1, COUNTA(Working!$A$2:INDEX(Working!$A:$A, MATCH("zzz", Working!$A:$A)))) + 1))</f>
        <v/>
      </c>
      <c r="J276" t="str" cm="1">
        <f t="array" ref="J276">IF(Working!$A276="","",INDEX(Working!$A$2:INDEX(Working!$A:$A, MATCH("zzz", Working!$A:$A)), MOD(ROW()-ROW(J$2)+J$1, COUNTA(Working!$A$2:INDEX(Working!$A:$A, MATCH("zzz", Working!$A:$A)))) + 1))</f>
        <v/>
      </c>
      <c r="K276" t="str" cm="1">
        <f t="array" ref="K276">IF(Working!$A276="","",INDEX(Working!$A$2:INDEX(Working!$A:$A, MATCH("zzz", Working!$A:$A)), MOD(ROW()-ROW(K$2)+K$1, COUNTA(Working!$A$2:INDEX(Working!$A:$A, MATCH("zzz", Working!$A:$A)))) + 1))</f>
        <v/>
      </c>
      <c r="L276" t="str" cm="1">
        <f t="array" ref="L276">IF(Working!$A276="","",INDEX(Working!$A$2:INDEX(Working!$A:$A, MATCH("zzz", Working!$A:$A)), MOD(ROW()-ROW(L$2)+L$1, COUNTA(Working!$A$2:INDEX(Working!$A:$A, MATCH("zzz", Working!$A:$A)))) + 1))</f>
        <v/>
      </c>
    </row>
    <row r="277" spans="3:12" ht="15.75" customHeight="1" x14ac:dyDescent="0.2">
      <c r="C277" t="str" cm="1">
        <f t="array" ref="C277">IF(Working!$A277="","",INDEX(Working!$A$2:INDEX(Working!$A:$A, MATCH("zzz", Working!$A:$A)), MOD(ROW()-ROW(C$2)+C$1, COUNTA(Working!$A$2:INDEX(Working!$A:$A, MATCH("zzz", Working!$A:$A)))) + 1))</f>
        <v/>
      </c>
      <c r="D277" t="str" cm="1">
        <f t="array" ref="D277">IF(Working!$A277="","",INDEX(Working!$A$2:INDEX(Working!$A:$A, MATCH("zzz", Working!$A:$A)), MOD(ROW()-ROW(D$2)+D$1, COUNTA(Working!$A$2:INDEX(Working!$A:$A, MATCH("zzz", Working!$A:$A)))) + 1))</f>
        <v/>
      </c>
      <c r="E277" t="str" cm="1">
        <f t="array" ref="E277">IF(Working!$A277="","",INDEX(Working!$A$2:INDEX(Working!$A:$A, MATCH("zzz", Working!$A:$A)), MOD(ROW()-ROW(E$2)+E$1, COUNTA(Working!$A$2:INDEX(Working!$A:$A, MATCH("zzz", Working!$A:$A)))) + 1))</f>
        <v/>
      </c>
      <c r="F277" t="str" cm="1">
        <f t="array" ref="F277">IF(Working!$A277="","",INDEX(Working!$A$2:INDEX(Working!$A:$A, MATCH("zzz", Working!$A:$A)), MOD(ROW()-ROW(F$2)+F$1, COUNTA(Working!$A$2:INDEX(Working!$A:$A, MATCH("zzz", Working!$A:$A)))) + 1))</f>
        <v/>
      </c>
      <c r="G277" t="str" cm="1">
        <f t="array" ref="G277">IF(Working!$A277="","",INDEX(Working!$A$2:INDEX(Working!$A:$A, MATCH("zzz", Working!$A:$A)), MOD(ROW()-ROW(G$2)+G$1, COUNTA(Working!$A$2:INDEX(Working!$A:$A, MATCH("zzz", Working!$A:$A)))) + 1))</f>
        <v/>
      </c>
      <c r="H277" t="str" cm="1">
        <f t="array" ref="H277">IF(Working!$A277="","",INDEX(Working!$A$2:INDEX(Working!$A:$A, MATCH("zzz", Working!$A:$A)), MOD(ROW()-ROW(H$2)+H$1, COUNTA(Working!$A$2:INDEX(Working!$A:$A, MATCH("zzz", Working!$A:$A)))) + 1))</f>
        <v/>
      </c>
      <c r="I277" t="str" cm="1">
        <f t="array" ref="I277">IF(Working!$A277="","",INDEX(Working!$A$2:INDEX(Working!$A:$A, MATCH("zzz", Working!$A:$A)), MOD(ROW()-ROW(I$2)+I$1, COUNTA(Working!$A$2:INDEX(Working!$A:$A, MATCH("zzz", Working!$A:$A)))) + 1))</f>
        <v/>
      </c>
      <c r="J277" t="str" cm="1">
        <f t="array" ref="J277">IF(Working!$A277="","",INDEX(Working!$A$2:INDEX(Working!$A:$A, MATCH("zzz", Working!$A:$A)), MOD(ROW()-ROW(J$2)+J$1, COUNTA(Working!$A$2:INDEX(Working!$A:$A, MATCH("zzz", Working!$A:$A)))) + 1))</f>
        <v/>
      </c>
      <c r="K277" t="str" cm="1">
        <f t="array" ref="K277">IF(Working!$A277="","",INDEX(Working!$A$2:INDEX(Working!$A:$A, MATCH("zzz", Working!$A:$A)), MOD(ROW()-ROW(K$2)+K$1, COUNTA(Working!$A$2:INDEX(Working!$A:$A, MATCH("zzz", Working!$A:$A)))) + 1))</f>
        <v/>
      </c>
      <c r="L277" t="str" cm="1">
        <f t="array" ref="L277">IF(Working!$A277="","",INDEX(Working!$A$2:INDEX(Working!$A:$A, MATCH("zzz", Working!$A:$A)), MOD(ROW()-ROW(L$2)+L$1, COUNTA(Working!$A$2:INDEX(Working!$A:$A, MATCH("zzz", Working!$A:$A)))) + 1))</f>
        <v/>
      </c>
    </row>
    <row r="278" spans="3:12" ht="15.75" customHeight="1" x14ac:dyDescent="0.2">
      <c r="C278" t="str" cm="1">
        <f t="array" ref="C278">IF(Working!$A278="","",INDEX(Working!$A$2:INDEX(Working!$A:$A, MATCH("zzz", Working!$A:$A)), MOD(ROW()-ROW(C$2)+C$1, COUNTA(Working!$A$2:INDEX(Working!$A:$A, MATCH("zzz", Working!$A:$A)))) + 1))</f>
        <v/>
      </c>
      <c r="D278" t="str" cm="1">
        <f t="array" ref="D278">IF(Working!$A278="","",INDEX(Working!$A$2:INDEX(Working!$A:$A, MATCH("zzz", Working!$A:$A)), MOD(ROW()-ROW(D$2)+D$1, COUNTA(Working!$A$2:INDEX(Working!$A:$A, MATCH("zzz", Working!$A:$A)))) + 1))</f>
        <v/>
      </c>
      <c r="E278" t="str" cm="1">
        <f t="array" ref="E278">IF(Working!$A278="","",INDEX(Working!$A$2:INDEX(Working!$A:$A, MATCH("zzz", Working!$A:$A)), MOD(ROW()-ROW(E$2)+E$1, COUNTA(Working!$A$2:INDEX(Working!$A:$A, MATCH("zzz", Working!$A:$A)))) + 1))</f>
        <v/>
      </c>
      <c r="F278" t="str" cm="1">
        <f t="array" ref="F278">IF(Working!$A278="","",INDEX(Working!$A$2:INDEX(Working!$A:$A, MATCH("zzz", Working!$A:$A)), MOD(ROW()-ROW(F$2)+F$1, COUNTA(Working!$A$2:INDEX(Working!$A:$A, MATCH("zzz", Working!$A:$A)))) + 1))</f>
        <v/>
      </c>
      <c r="G278" t="str" cm="1">
        <f t="array" ref="G278">IF(Working!$A278="","",INDEX(Working!$A$2:INDEX(Working!$A:$A, MATCH("zzz", Working!$A:$A)), MOD(ROW()-ROW(G$2)+G$1, COUNTA(Working!$A$2:INDEX(Working!$A:$A, MATCH("zzz", Working!$A:$A)))) + 1))</f>
        <v/>
      </c>
      <c r="H278" t="str" cm="1">
        <f t="array" ref="H278">IF(Working!$A278="","",INDEX(Working!$A$2:INDEX(Working!$A:$A, MATCH("zzz", Working!$A:$A)), MOD(ROW()-ROW(H$2)+H$1, COUNTA(Working!$A$2:INDEX(Working!$A:$A, MATCH("zzz", Working!$A:$A)))) + 1))</f>
        <v/>
      </c>
      <c r="I278" t="str" cm="1">
        <f t="array" ref="I278">IF(Working!$A278="","",INDEX(Working!$A$2:INDEX(Working!$A:$A, MATCH("zzz", Working!$A:$A)), MOD(ROW()-ROW(I$2)+I$1, COUNTA(Working!$A$2:INDEX(Working!$A:$A, MATCH("zzz", Working!$A:$A)))) + 1))</f>
        <v/>
      </c>
      <c r="J278" t="str" cm="1">
        <f t="array" ref="J278">IF(Working!$A278="","",INDEX(Working!$A$2:INDEX(Working!$A:$A, MATCH("zzz", Working!$A:$A)), MOD(ROW()-ROW(J$2)+J$1, COUNTA(Working!$A$2:INDEX(Working!$A:$A, MATCH("zzz", Working!$A:$A)))) + 1))</f>
        <v/>
      </c>
      <c r="K278" t="str" cm="1">
        <f t="array" ref="K278">IF(Working!$A278="","",INDEX(Working!$A$2:INDEX(Working!$A:$A, MATCH("zzz", Working!$A:$A)), MOD(ROW()-ROW(K$2)+K$1, COUNTA(Working!$A$2:INDEX(Working!$A:$A, MATCH("zzz", Working!$A:$A)))) + 1))</f>
        <v/>
      </c>
      <c r="L278" t="str" cm="1">
        <f t="array" ref="L278">IF(Working!$A278="","",INDEX(Working!$A$2:INDEX(Working!$A:$A, MATCH("zzz", Working!$A:$A)), MOD(ROW()-ROW(L$2)+L$1, COUNTA(Working!$A$2:INDEX(Working!$A:$A, MATCH("zzz", Working!$A:$A)))) + 1))</f>
        <v/>
      </c>
    </row>
    <row r="279" spans="3:12" ht="15.75" customHeight="1" x14ac:dyDescent="0.2">
      <c r="C279" t="str" cm="1">
        <f t="array" ref="C279">IF(Working!$A279="","",INDEX(Working!$A$2:INDEX(Working!$A:$A, MATCH("zzz", Working!$A:$A)), MOD(ROW()-ROW(C$2)+C$1, COUNTA(Working!$A$2:INDEX(Working!$A:$A, MATCH("zzz", Working!$A:$A)))) + 1))</f>
        <v/>
      </c>
      <c r="D279" t="str" cm="1">
        <f t="array" ref="D279">IF(Working!$A279="","",INDEX(Working!$A$2:INDEX(Working!$A:$A, MATCH("zzz", Working!$A:$A)), MOD(ROW()-ROW(D$2)+D$1, COUNTA(Working!$A$2:INDEX(Working!$A:$A, MATCH("zzz", Working!$A:$A)))) + 1))</f>
        <v/>
      </c>
      <c r="E279" t="str" cm="1">
        <f t="array" ref="E279">IF(Working!$A279="","",INDEX(Working!$A$2:INDEX(Working!$A:$A, MATCH("zzz", Working!$A:$A)), MOD(ROW()-ROW(E$2)+E$1, COUNTA(Working!$A$2:INDEX(Working!$A:$A, MATCH("zzz", Working!$A:$A)))) + 1))</f>
        <v/>
      </c>
      <c r="F279" t="str" cm="1">
        <f t="array" ref="F279">IF(Working!$A279="","",INDEX(Working!$A$2:INDEX(Working!$A:$A, MATCH("zzz", Working!$A:$A)), MOD(ROW()-ROW(F$2)+F$1, COUNTA(Working!$A$2:INDEX(Working!$A:$A, MATCH("zzz", Working!$A:$A)))) + 1))</f>
        <v/>
      </c>
      <c r="G279" t="str" cm="1">
        <f t="array" ref="G279">IF(Working!$A279="","",INDEX(Working!$A$2:INDEX(Working!$A:$A, MATCH("zzz", Working!$A:$A)), MOD(ROW()-ROW(G$2)+G$1, COUNTA(Working!$A$2:INDEX(Working!$A:$A, MATCH("zzz", Working!$A:$A)))) + 1))</f>
        <v/>
      </c>
      <c r="H279" t="str" cm="1">
        <f t="array" ref="H279">IF(Working!$A279="","",INDEX(Working!$A$2:INDEX(Working!$A:$A, MATCH("zzz", Working!$A:$A)), MOD(ROW()-ROW(H$2)+H$1, COUNTA(Working!$A$2:INDEX(Working!$A:$A, MATCH("zzz", Working!$A:$A)))) + 1))</f>
        <v/>
      </c>
      <c r="I279" t="str" cm="1">
        <f t="array" ref="I279">IF(Working!$A279="","",INDEX(Working!$A$2:INDEX(Working!$A:$A, MATCH("zzz", Working!$A:$A)), MOD(ROW()-ROW(I$2)+I$1, COUNTA(Working!$A$2:INDEX(Working!$A:$A, MATCH("zzz", Working!$A:$A)))) + 1))</f>
        <v/>
      </c>
      <c r="J279" t="str" cm="1">
        <f t="array" ref="J279">IF(Working!$A279="","",INDEX(Working!$A$2:INDEX(Working!$A:$A, MATCH("zzz", Working!$A:$A)), MOD(ROW()-ROW(J$2)+J$1, COUNTA(Working!$A$2:INDEX(Working!$A:$A, MATCH("zzz", Working!$A:$A)))) + 1))</f>
        <v/>
      </c>
      <c r="K279" t="str" cm="1">
        <f t="array" ref="K279">IF(Working!$A279="","",INDEX(Working!$A$2:INDEX(Working!$A:$A, MATCH("zzz", Working!$A:$A)), MOD(ROW()-ROW(K$2)+K$1, COUNTA(Working!$A$2:INDEX(Working!$A:$A, MATCH("zzz", Working!$A:$A)))) + 1))</f>
        <v/>
      </c>
      <c r="L279" t="str" cm="1">
        <f t="array" ref="L279">IF(Working!$A279="","",INDEX(Working!$A$2:INDEX(Working!$A:$A, MATCH("zzz", Working!$A:$A)), MOD(ROW()-ROW(L$2)+L$1, COUNTA(Working!$A$2:INDEX(Working!$A:$A, MATCH("zzz", Working!$A:$A)))) + 1))</f>
        <v/>
      </c>
    </row>
    <row r="280" spans="3:12" ht="15.75" customHeight="1" x14ac:dyDescent="0.2">
      <c r="C280" t="str" cm="1">
        <f t="array" ref="C280">IF(Working!$A280="","",INDEX(Working!$A$2:INDEX(Working!$A:$A, MATCH("zzz", Working!$A:$A)), MOD(ROW()-ROW(C$2)+C$1, COUNTA(Working!$A$2:INDEX(Working!$A:$A, MATCH("zzz", Working!$A:$A)))) + 1))</f>
        <v/>
      </c>
      <c r="D280" t="str" cm="1">
        <f t="array" ref="D280">IF(Working!$A280="","",INDEX(Working!$A$2:INDEX(Working!$A:$A, MATCH("zzz", Working!$A:$A)), MOD(ROW()-ROW(D$2)+D$1, COUNTA(Working!$A$2:INDEX(Working!$A:$A, MATCH("zzz", Working!$A:$A)))) + 1))</f>
        <v/>
      </c>
      <c r="E280" t="str" cm="1">
        <f t="array" ref="E280">IF(Working!$A280="","",INDEX(Working!$A$2:INDEX(Working!$A:$A, MATCH("zzz", Working!$A:$A)), MOD(ROW()-ROW(E$2)+E$1, COUNTA(Working!$A$2:INDEX(Working!$A:$A, MATCH("zzz", Working!$A:$A)))) + 1))</f>
        <v/>
      </c>
      <c r="F280" t="str" cm="1">
        <f t="array" ref="F280">IF(Working!$A280="","",INDEX(Working!$A$2:INDEX(Working!$A:$A, MATCH("zzz", Working!$A:$A)), MOD(ROW()-ROW(F$2)+F$1, COUNTA(Working!$A$2:INDEX(Working!$A:$A, MATCH("zzz", Working!$A:$A)))) + 1))</f>
        <v/>
      </c>
      <c r="G280" t="str" cm="1">
        <f t="array" ref="G280">IF(Working!$A280="","",INDEX(Working!$A$2:INDEX(Working!$A:$A, MATCH("zzz", Working!$A:$A)), MOD(ROW()-ROW(G$2)+G$1, COUNTA(Working!$A$2:INDEX(Working!$A:$A, MATCH("zzz", Working!$A:$A)))) + 1))</f>
        <v/>
      </c>
      <c r="H280" t="str" cm="1">
        <f t="array" ref="H280">IF(Working!$A280="","",INDEX(Working!$A$2:INDEX(Working!$A:$A, MATCH("zzz", Working!$A:$A)), MOD(ROW()-ROW(H$2)+H$1, COUNTA(Working!$A$2:INDEX(Working!$A:$A, MATCH("zzz", Working!$A:$A)))) + 1))</f>
        <v/>
      </c>
      <c r="I280" t="str" cm="1">
        <f t="array" ref="I280">IF(Working!$A280="","",INDEX(Working!$A$2:INDEX(Working!$A:$A, MATCH("zzz", Working!$A:$A)), MOD(ROW()-ROW(I$2)+I$1, COUNTA(Working!$A$2:INDEX(Working!$A:$A, MATCH("zzz", Working!$A:$A)))) + 1))</f>
        <v/>
      </c>
      <c r="J280" t="str" cm="1">
        <f t="array" ref="J280">IF(Working!$A280="","",INDEX(Working!$A$2:INDEX(Working!$A:$A, MATCH("zzz", Working!$A:$A)), MOD(ROW()-ROW(J$2)+J$1, COUNTA(Working!$A$2:INDEX(Working!$A:$A, MATCH("zzz", Working!$A:$A)))) + 1))</f>
        <v/>
      </c>
      <c r="K280" t="str" cm="1">
        <f t="array" ref="K280">IF(Working!$A280="","",INDEX(Working!$A$2:INDEX(Working!$A:$A, MATCH("zzz", Working!$A:$A)), MOD(ROW()-ROW(K$2)+K$1, COUNTA(Working!$A$2:INDEX(Working!$A:$A, MATCH("zzz", Working!$A:$A)))) + 1))</f>
        <v/>
      </c>
      <c r="L280" t="str" cm="1">
        <f t="array" ref="L280">IF(Working!$A280="","",INDEX(Working!$A$2:INDEX(Working!$A:$A, MATCH("zzz", Working!$A:$A)), MOD(ROW()-ROW(L$2)+L$1, COUNTA(Working!$A$2:INDEX(Working!$A:$A, MATCH("zzz", Working!$A:$A)))) + 1))</f>
        <v/>
      </c>
    </row>
    <row r="281" spans="3:12" ht="15.75" customHeight="1" x14ac:dyDescent="0.2">
      <c r="C281" t="str" cm="1">
        <f t="array" ref="C281">IF(Working!$A281="","",INDEX(Working!$A$2:INDEX(Working!$A:$A, MATCH("zzz", Working!$A:$A)), MOD(ROW()-ROW(C$2)+C$1, COUNTA(Working!$A$2:INDEX(Working!$A:$A, MATCH("zzz", Working!$A:$A)))) + 1))</f>
        <v/>
      </c>
      <c r="D281" t="str" cm="1">
        <f t="array" ref="D281">IF(Working!$A281="","",INDEX(Working!$A$2:INDEX(Working!$A:$A, MATCH("zzz", Working!$A:$A)), MOD(ROW()-ROW(D$2)+D$1, COUNTA(Working!$A$2:INDEX(Working!$A:$A, MATCH("zzz", Working!$A:$A)))) + 1))</f>
        <v/>
      </c>
      <c r="E281" t="str" cm="1">
        <f t="array" ref="E281">IF(Working!$A281="","",INDEX(Working!$A$2:INDEX(Working!$A:$A, MATCH("zzz", Working!$A:$A)), MOD(ROW()-ROW(E$2)+E$1, COUNTA(Working!$A$2:INDEX(Working!$A:$A, MATCH("zzz", Working!$A:$A)))) + 1))</f>
        <v/>
      </c>
      <c r="F281" t="str" cm="1">
        <f t="array" ref="F281">IF(Working!$A281="","",INDEX(Working!$A$2:INDEX(Working!$A:$A, MATCH("zzz", Working!$A:$A)), MOD(ROW()-ROW(F$2)+F$1, COUNTA(Working!$A$2:INDEX(Working!$A:$A, MATCH("zzz", Working!$A:$A)))) + 1))</f>
        <v/>
      </c>
      <c r="G281" t="str" cm="1">
        <f t="array" ref="G281">IF(Working!$A281="","",INDEX(Working!$A$2:INDEX(Working!$A:$A, MATCH("zzz", Working!$A:$A)), MOD(ROW()-ROW(G$2)+G$1, COUNTA(Working!$A$2:INDEX(Working!$A:$A, MATCH("zzz", Working!$A:$A)))) + 1))</f>
        <v/>
      </c>
      <c r="H281" t="str" cm="1">
        <f t="array" ref="H281">IF(Working!$A281="","",INDEX(Working!$A$2:INDEX(Working!$A:$A, MATCH("zzz", Working!$A:$A)), MOD(ROW()-ROW(H$2)+H$1, COUNTA(Working!$A$2:INDEX(Working!$A:$A, MATCH("zzz", Working!$A:$A)))) + 1))</f>
        <v/>
      </c>
      <c r="I281" t="str" cm="1">
        <f t="array" ref="I281">IF(Working!$A281="","",INDEX(Working!$A$2:INDEX(Working!$A:$A, MATCH("zzz", Working!$A:$A)), MOD(ROW()-ROW(I$2)+I$1, COUNTA(Working!$A$2:INDEX(Working!$A:$A, MATCH("zzz", Working!$A:$A)))) + 1))</f>
        <v/>
      </c>
      <c r="J281" t="str" cm="1">
        <f t="array" ref="J281">IF(Working!$A281="","",INDEX(Working!$A$2:INDEX(Working!$A:$A, MATCH("zzz", Working!$A:$A)), MOD(ROW()-ROW(J$2)+J$1, COUNTA(Working!$A$2:INDEX(Working!$A:$A, MATCH("zzz", Working!$A:$A)))) + 1))</f>
        <v/>
      </c>
      <c r="K281" t="str" cm="1">
        <f t="array" ref="K281">IF(Working!$A281="","",INDEX(Working!$A$2:INDEX(Working!$A:$A, MATCH("zzz", Working!$A:$A)), MOD(ROW()-ROW(K$2)+K$1, COUNTA(Working!$A$2:INDEX(Working!$A:$A, MATCH("zzz", Working!$A:$A)))) + 1))</f>
        <v/>
      </c>
      <c r="L281" t="str" cm="1">
        <f t="array" ref="L281">IF(Working!$A281="","",INDEX(Working!$A$2:INDEX(Working!$A:$A, MATCH("zzz", Working!$A:$A)), MOD(ROW()-ROW(L$2)+L$1, COUNTA(Working!$A$2:INDEX(Working!$A:$A, MATCH("zzz", Working!$A:$A)))) + 1))</f>
        <v/>
      </c>
    </row>
    <row r="282" spans="3:12" ht="15.75" customHeight="1" x14ac:dyDescent="0.2">
      <c r="C282" t="str" cm="1">
        <f t="array" ref="C282">IF(Working!$A282="","",INDEX(Working!$A$2:INDEX(Working!$A:$A, MATCH("zzz", Working!$A:$A)), MOD(ROW()-ROW(C$2)+C$1, COUNTA(Working!$A$2:INDEX(Working!$A:$A, MATCH("zzz", Working!$A:$A)))) + 1))</f>
        <v/>
      </c>
      <c r="D282" t="str" cm="1">
        <f t="array" ref="D282">IF(Working!$A282="","",INDEX(Working!$A$2:INDEX(Working!$A:$A, MATCH("zzz", Working!$A:$A)), MOD(ROW()-ROW(D$2)+D$1, COUNTA(Working!$A$2:INDEX(Working!$A:$A, MATCH("zzz", Working!$A:$A)))) + 1))</f>
        <v/>
      </c>
      <c r="E282" t="str" cm="1">
        <f t="array" ref="E282">IF(Working!$A282="","",INDEX(Working!$A$2:INDEX(Working!$A:$A, MATCH("zzz", Working!$A:$A)), MOD(ROW()-ROW(E$2)+E$1, COUNTA(Working!$A$2:INDEX(Working!$A:$A, MATCH("zzz", Working!$A:$A)))) + 1))</f>
        <v/>
      </c>
      <c r="F282" t="str" cm="1">
        <f t="array" ref="F282">IF(Working!$A282="","",INDEX(Working!$A$2:INDEX(Working!$A:$A, MATCH("zzz", Working!$A:$A)), MOD(ROW()-ROW(F$2)+F$1, COUNTA(Working!$A$2:INDEX(Working!$A:$A, MATCH("zzz", Working!$A:$A)))) + 1))</f>
        <v/>
      </c>
      <c r="G282" t="str" cm="1">
        <f t="array" ref="G282">IF(Working!$A282="","",INDEX(Working!$A$2:INDEX(Working!$A:$A, MATCH("zzz", Working!$A:$A)), MOD(ROW()-ROW(G$2)+G$1, COUNTA(Working!$A$2:INDEX(Working!$A:$A, MATCH("zzz", Working!$A:$A)))) + 1))</f>
        <v/>
      </c>
      <c r="H282" t="str" cm="1">
        <f t="array" ref="H282">IF(Working!$A282="","",INDEX(Working!$A$2:INDEX(Working!$A:$A, MATCH("zzz", Working!$A:$A)), MOD(ROW()-ROW(H$2)+H$1, COUNTA(Working!$A$2:INDEX(Working!$A:$A, MATCH("zzz", Working!$A:$A)))) + 1))</f>
        <v/>
      </c>
      <c r="I282" t="str" cm="1">
        <f t="array" ref="I282">IF(Working!$A282="","",INDEX(Working!$A$2:INDEX(Working!$A:$A, MATCH("zzz", Working!$A:$A)), MOD(ROW()-ROW(I$2)+I$1, COUNTA(Working!$A$2:INDEX(Working!$A:$A, MATCH("zzz", Working!$A:$A)))) + 1))</f>
        <v/>
      </c>
      <c r="J282" t="str" cm="1">
        <f t="array" ref="J282">IF(Working!$A282="","",INDEX(Working!$A$2:INDEX(Working!$A:$A, MATCH("zzz", Working!$A:$A)), MOD(ROW()-ROW(J$2)+J$1, COUNTA(Working!$A$2:INDEX(Working!$A:$A, MATCH("zzz", Working!$A:$A)))) + 1))</f>
        <v/>
      </c>
      <c r="K282" t="str" cm="1">
        <f t="array" ref="K282">IF(Working!$A282="","",INDEX(Working!$A$2:INDEX(Working!$A:$A, MATCH("zzz", Working!$A:$A)), MOD(ROW()-ROW(K$2)+K$1, COUNTA(Working!$A$2:INDEX(Working!$A:$A, MATCH("zzz", Working!$A:$A)))) + 1))</f>
        <v/>
      </c>
      <c r="L282" t="str" cm="1">
        <f t="array" ref="L282">IF(Working!$A282="","",INDEX(Working!$A$2:INDEX(Working!$A:$A, MATCH("zzz", Working!$A:$A)), MOD(ROW()-ROW(L$2)+L$1, COUNTA(Working!$A$2:INDEX(Working!$A:$A, MATCH("zzz", Working!$A:$A)))) + 1))</f>
        <v/>
      </c>
    </row>
    <row r="283" spans="3:12" ht="15.75" customHeight="1" x14ac:dyDescent="0.2">
      <c r="C283" t="str" cm="1">
        <f t="array" ref="C283">IF(Working!$A283="","",INDEX(Working!$A$2:INDEX(Working!$A:$A, MATCH("zzz", Working!$A:$A)), MOD(ROW()-ROW(C$2)+C$1, COUNTA(Working!$A$2:INDEX(Working!$A:$A, MATCH("zzz", Working!$A:$A)))) + 1))</f>
        <v/>
      </c>
      <c r="D283" t="str" cm="1">
        <f t="array" ref="D283">IF(Working!$A283="","",INDEX(Working!$A$2:INDEX(Working!$A:$A, MATCH("zzz", Working!$A:$A)), MOD(ROW()-ROW(D$2)+D$1, COUNTA(Working!$A$2:INDEX(Working!$A:$A, MATCH("zzz", Working!$A:$A)))) + 1))</f>
        <v/>
      </c>
      <c r="E283" t="str" cm="1">
        <f t="array" ref="E283">IF(Working!$A283="","",INDEX(Working!$A$2:INDEX(Working!$A:$A, MATCH("zzz", Working!$A:$A)), MOD(ROW()-ROW(E$2)+E$1, COUNTA(Working!$A$2:INDEX(Working!$A:$A, MATCH("zzz", Working!$A:$A)))) + 1))</f>
        <v/>
      </c>
      <c r="F283" t="str" cm="1">
        <f t="array" ref="F283">IF(Working!$A283="","",INDEX(Working!$A$2:INDEX(Working!$A:$A, MATCH("zzz", Working!$A:$A)), MOD(ROW()-ROW(F$2)+F$1, COUNTA(Working!$A$2:INDEX(Working!$A:$A, MATCH("zzz", Working!$A:$A)))) + 1))</f>
        <v/>
      </c>
      <c r="G283" t="str" cm="1">
        <f t="array" ref="G283">IF(Working!$A283="","",INDEX(Working!$A$2:INDEX(Working!$A:$A, MATCH("zzz", Working!$A:$A)), MOD(ROW()-ROW(G$2)+G$1, COUNTA(Working!$A$2:INDEX(Working!$A:$A, MATCH("zzz", Working!$A:$A)))) + 1))</f>
        <v/>
      </c>
      <c r="H283" t="str" cm="1">
        <f t="array" ref="H283">IF(Working!$A283="","",INDEX(Working!$A$2:INDEX(Working!$A:$A, MATCH("zzz", Working!$A:$A)), MOD(ROW()-ROW(H$2)+H$1, COUNTA(Working!$A$2:INDEX(Working!$A:$A, MATCH("zzz", Working!$A:$A)))) + 1))</f>
        <v/>
      </c>
      <c r="I283" t="str" cm="1">
        <f t="array" ref="I283">IF(Working!$A283="","",INDEX(Working!$A$2:INDEX(Working!$A:$A, MATCH("zzz", Working!$A:$A)), MOD(ROW()-ROW(I$2)+I$1, COUNTA(Working!$A$2:INDEX(Working!$A:$A, MATCH("zzz", Working!$A:$A)))) + 1))</f>
        <v/>
      </c>
      <c r="J283" t="str" cm="1">
        <f t="array" ref="J283">IF(Working!$A283="","",INDEX(Working!$A$2:INDEX(Working!$A:$A, MATCH("zzz", Working!$A:$A)), MOD(ROW()-ROW(J$2)+J$1, COUNTA(Working!$A$2:INDEX(Working!$A:$A, MATCH("zzz", Working!$A:$A)))) + 1))</f>
        <v/>
      </c>
      <c r="K283" t="str" cm="1">
        <f t="array" ref="K283">IF(Working!$A283="","",INDEX(Working!$A$2:INDEX(Working!$A:$A, MATCH("zzz", Working!$A:$A)), MOD(ROW()-ROW(K$2)+K$1, COUNTA(Working!$A$2:INDEX(Working!$A:$A, MATCH("zzz", Working!$A:$A)))) + 1))</f>
        <v/>
      </c>
      <c r="L283" t="str" cm="1">
        <f t="array" ref="L283">IF(Working!$A283="","",INDEX(Working!$A$2:INDEX(Working!$A:$A, MATCH("zzz", Working!$A:$A)), MOD(ROW()-ROW(L$2)+L$1, COUNTA(Working!$A$2:INDEX(Working!$A:$A, MATCH("zzz", Working!$A:$A)))) + 1))</f>
        <v/>
      </c>
    </row>
    <row r="284" spans="3:12" ht="15.75" customHeight="1" x14ac:dyDescent="0.2">
      <c r="C284" t="str" cm="1">
        <f t="array" ref="C284">IF(Working!$A284="","",INDEX(Working!$A$2:INDEX(Working!$A:$A, MATCH("zzz", Working!$A:$A)), MOD(ROW()-ROW(C$2)+C$1, COUNTA(Working!$A$2:INDEX(Working!$A:$A, MATCH("zzz", Working!$A:$A)))) + 1))</f>
        <v/>
      </c>
      <c r="D284" t="str" cm="1">
        <f t="array" ref="D284">IF(Working!$A284="","",INDEX(Working!$A$2:INDEX(Working!$A:$A, MATCH("zzz", Working!$A:$A)), MOD(ROW()-ROW(D$2)+D$1, COUNTA(Working!$A$2:INDEX(Working!$A:$A, MATCH("zzz", Working!$A:$A)))) + 1))</f>
        <v/>
      </c>
      <c r="E284" t="str" cm="1">
        <f t="array" ref="E284">IF(Working!$A284="","",INDEX(Working!$A$2:INDEX(Working!$A:$A, MATCH("zzz", Working!$A:$A)), MOD(ROW()-ROW(E$2)+E$1, COUNTA(Working!$A$2:INDEX(Working!$A:$A, MATCH("zzz", Working!$A:$A)))) + 1))</f>
        <v/>
      </c>
      <c r="F284" t="str" cm="1">
        <f t="array" ref="F284">IF(Working!$A284="","",INDEX(Working!$A$2:INDEX(Working!$A:$A, MATCH("zzz", Working!$A:$A)), MOD(ROW()-ROW(F$2)+F$1, COUNTA(Working!$A$2:INDEX(Working!$A:$A, MATCH("zzz", Working!$A:$A)))) + 1))</f>
        <v/>
      </c>
      <c r="G284" t="str" cm="1">
        <f t="array" ref="G284">IF(Working!$A284="","",INDEX(Working!$A$2:INDEX(Working!$A:$A, MATCH("zzz", Working!$A:$A)), MOD(ROW()-ROW(G$2)+G$1, COUNTA(Working!$A$2:INDEX(Working!$A:$A, MATCH("zzz", Working!$A:$A)))) + 1))</f>
        <v/>
      </c>
      <c r="H284" t="str" cm="1">
        <f t="array" ref="H284">IF(Working!$A284="","",INDEX(Working!$A$2:INDEX(Working!$A:$A, MATCH("zzz", Working!$A:$A)), MOD(ROW()-ROW(H$2)+H$1, COUNTA(Working!$A$2:INDEX(Working!$A:$A, MATCH("zzz", Working!$A:$A)))) + 1))</f>
        <v/>
      </c>
      <c r="I284" t="str" cm="1">
        <f t="array" ref="I284">IF(Working!$A284="","",INDEX(Working!$A$2:INDEX(Working!$A:$A, MATCH("zzz", Working!$A:$A)), MOD(ROW()-ROW(I$2)+I$1, COUNTA(Working!$A$2:INDEX(Working!$A:$A, MATCH("zzz", Working!$A:$A)))) + 1))</f>
        <v/>
      </c>
      <c r="J284" t="str" cm="1">
        <f t="array" ref="J284">IF(Working!$A284="","",INDEX(Working!$A$2:INDEX(Working!$A:$A, MATCH("zzz", Working!$A:$A)), MOD(ROW()-ROW(J$2)+J$1, COUNTA(Working!$A$2:INDEX(Working!$A:$A, MATCH("zzz", Working!$A:$A)))) + 1))</f>
        <v/>
      </c>
      <c r="K284" t="str" cm="1">
        <f t="array" ref="K284">IF(Working!$A284="","",INDEX(Working!$A$2:INDEX(Working!$A:$A, MATCH("zzz", Working!$A:$A)), MOD(ROW()-ROW(K$2)+K$1, COUNTA(Working!$A$2:INDEX(Working!$A:$A, MATCH("zzz", Working!$A:$A)))) + 1))</f>
        <v/>
      </c>
      <c r="L284" t="str" cm="1">
        <f t="array" ref="L284">IF(Working!$A284="","",INDEX(Working!$A$2:INDEX(Working!$A:$A, MATCH("zzz", Working!$A:$A)), MOD(ROW()-ROW(L$2)+L$1, COUNTA(Working!$A$2:INDEX(Working!$A:$A, MATCH("zzz", Working!$A:$A)))) + 1))</f>
        <v/>
      </c>
    </row>
    <row r="285" spans="3:12" ht="15.75" customHeight="1" x14ac:dyDescent="0.2">
      <c r="C285" t="str" cm="1">
        <f t="array" ref="C285">IF(Working!$A285="","",INDEX(Working!$A$2:INDEX(Working!$A:$A, MATCH("zzz", Working!$A:$A)), MOD(ROW()-ROW(C$2)+C$1, COUNTA(Working!$A$2:INDEX(Working!$A:$A, MATCH("zzz", Working!$A:$A)))) + 1))</f>
        <v/>
      </c>
      <c r="D285" t="str" cm="1">
        <f t="array" ref="D285">IF(Working!$A285="","",INDEX(Working!$A$2:INDEX(Working!$A:$A, MATCH("zzz", Working!$A:$A)), MOD(ROW()-ROW(D$2)+D$1, COUNTA(Working!$A$2:INDEX(Working!$A:$A, MATCH("zzz", Working!$A:$A)))) + 1))</f>
        <v/>
      </c>
      <c r="E285" t="str" cm="1">
        <f t="array" ref="E285">IF(Working!$A285="","",INDEX(Working!$A$2:INDEX(Working!$A:$A, MATCH("zzz", Working!$A:$A)), MOD(ROW()-ROW(E$2)+E$1, COUNTA(Working!$A$2:INDEX(Working!$A:$A, MATCH("zzz", Working!$A:$A)))) + 1))</f>
        <v/>
      </c>
      <c r="F285" t="str" cm="1">
        <f t="array" ref="F285">IF(Working!$A285="","",INDEX(Working!$A$2:INDEX(Working!$A:$A, MATCH("zzz", Working!$A:$A)), MOD(ROW()-ROW(F$2)+F$1, COUNTA(Working!$A$2:INDEX(Working!$A:$A, MATCH("zzz", Working!$A:$A)))) + 1))</f>
        <v/>
      </c>
      <c r="G285" t="str" cm="1">
        <f t="array" ref="G285">IF(Working!$A285="","",INDEX(Working!$A$2:INDEX(Working!$A:$A, MATCH("zzz", Working!$A:$A)), MOD(ROW()-ROW(G$2)+G$1, COUNTA(Working!$A$2:INDEX(Working!$A:$A, MATCH("zzz", Working!$A:$A)))) + 1))</f>
        <v/>
      </c>
      <c r="H285" t="str" cm="1">
        <f t="array" ref="H285">IF(Working!$A285="","",INDEX(Working!$A$2:INDEX(Working!$A:$A, MATCH("zzz", Working!$A:$A)), MOD(ROW()-ROW(H$2)+H$1, COUNTA(Working!$A$2:INDEX(Working!$A:$A, MATCH("zzz", Working!$A:$A)))) + 1))</f>
        <v/>
      </c>
      <c r="I285" t="str" cm="1">
        <f t="array" ref="I285">IF(Working!$A285="","",INDEX(Working!$A$2:INDEX(Working!$A:$A, MATCH("zzz", Working!$A:$A)), MOD(ROW()-ROW(I$2)+I$1, COUNTA(Working!$A$2:INDEX(Working!$A:$A, MATCH("zzz", Working!$A:$A)))) + 1))</f>
        <v/>
      </c>
      <c r="J285" t="str" cm="1">
        <f t="array" ref="J285">IF(Working!$A285="","",INDEX(Working!$A$2:INDEX(Working!$A:$A, MATCH("zzz", Working!$A:$A)), MOD(ROW()-ROW(J$2)+J$1, COUNTA(Working!$A$2:INDEX(Working!$A:$A, MATCH("zzz", Working!$A:$A)))) + 1))</f>
        <v/>
      </c>
      <c r="K285" t="str" cm="1">
        <f t="array" ref="K285">IF(Working!$A285="","",INDEX(Working!$A$2:INDEX(Working!$A:$A, MATCH("zzz", Working!$A:$A)), MOD(ROW()-ROW(K$2)+K$1, COUNTA(Working!$A$2:INDEX(Working!$A:$A, MATCH("zzz", Working!$A:$A)))) + 1))</f>
        <v/>
      </c>
      <c r="L285" t="str" cm="1">
        <f t="array" ref="L285">IF(Working!$A285="","",INDEX(Working!$A$2:INDEX(Working!$A:$A, MATCH("zzz", Working!$A:$A)), MOD(ROW()-ROW(L$2)+L$1, COUNTA(Working!$A$2:INDEX(Working!$A:$A, MATCH("zzz", Working!$A:$A)))) + 1))</f>
        <v/>
      </c>
    </row>
    <row r="286" spans="3:12" ht="15.75" customHeight="1" x14ac:dyDescent="0.2">
      <c r="C286" t="str" cm="1">
        <f t="array" ref="C286">IF(Working!$A286="","",INDEX(Working!$A$2:INDEX(Working!$A:$A, MATCH("zzz", Working!$A:$A)), MOD(ROW()-ROW(C$2)+C$1, COUNTA(Working!$A$2:INDEX(Working!$A:$A, MATCH("zzz", Working!$A:$A)))) + 1))</f>
        <v/>
      </c>
      <c r="D286" t="str" cm="1">
        <f t="array" ref="D286">IF(Working!$A286="","",INDEX(Working!$A$2:INDEX(Working!$A:$A, MATCH("zzz", Working!$A:$A)), MOD(ROW()-ROW(D$2)+D$1, COUNTA(Working!$A$2:INDEX(Working!$A:$A, MATCH("zzz", Working!$A:$A)))) + 1))</f>
        <v/>
      </c>
      <c r="E286" t="str" cm="1">
        <f t="array" ref="E286">IF(Working!$A286="","",INDEX(Working!$A$2:INDEX(Working!$A:$A, MATCH("zzz", Working!$A:$A)), MOD(ROW()-ROW(E$2)+E$1, COUNTA(Working!$A$2:INDEX(Working!$A:$A, MATCH("zzz", Working!$A:$A)))) + 1))</f>
        <v/>
      </c>
      <c r="F286" t="str" cm="1">
        <f t="array" ref="F286">IF(Working!$A286="","",INDEX(Working!$A$2:INDEX(Working!$A:$A, MATCH("zzz", Working!$A:$A)), MOD(ROW()-ROW(F$2)+F$1, COUNTA(Working!$A$2:INDEX(Working!$A:$A, MATCH("zzz", Working!$A:$A)))) + 1))</f>
        <v/>
      </c>
      <c r="G286" t="str" cm="1">
        <f t="array" ref="G286">IF(Working!$A286="","",INDEX(Working!$A$2:INDEX(Working!$A:$A, MATCH("zzz", Working!$A:$A)), MOD(ROW()-ROW(G$2)+G$1, COUNTA(Working!$A$2:INDEX(Working!$A:$A, MATCH("zzz", Working!$A:$A)))) + 1))</f>
        <v/>
      </c>
      <c r="H286" t="str" cm="1">
        <f t="array" ref="H286">IF(Working!$A286="","",INDEX(Working!$A$2:INDEX(Working!$A:$A, MATCH("zzz", Working!$A:$A)), MOD(ROW()-ROW(H$2)+H$1, COUNTA(Working!$A$2:INDEX(Working!$A:$A, MATCH("zzz", Working!$A:$A)))) + 1))</f>
        <v/>
      </c>
      <c r="I286" t="str" cm="1">
        <f t="array" ref="I286">IF(Working!$A286="","",INDEX(Working!$A$2:INDEX(Working!$A:$A, MATCH("zzz", Working!$A:$A)), MOD(ROW()-ROW(I$2)+I$1, COUNTA(Working!$A$2:INDEX(Working!$A:$A, MATCH("zzz", Working!$A:$A)))) + 1))</f>
        <v/>
      </c>
      <c r="J286" t="str" cm="1">
        <f t="array" ref="J286">IF(Working!$A286="","",INDEX(Working!$A$2:INDEX(Working!$A:$A, MATCH("zzz", Working!$A:$A)), MOD(ROW()-ROW(J$2)+J$1, COUNTA(Working!$A$2:INDEX(Working!$A:$A, MATCH("zzz", Working!$A:$A)))) + 1))</f>
        <v/>
      </c>
      <c r="K286" t="str" cm="1">
        <f t="array" ref="K286">IF(Working!$A286="","",INDEX(Working!$A$2:INDEX(Working!$A:$A, MATCH("zzz", Working!$A:$A)), MOD(ROW()-ROW(K$2)+K$1, COUNTA(Working!$A$2:INDEX(Working!$A:$A, MATCH("zzz", Working!$A:$A)))) + 1))</f>
        <v/>
      </c>
      <c r="L286" t="str" cm="1">
        <f t="array" ref="L286">IF(Working!$A286="","",INDEX(Working!$A$2:INDEX(Working!$A:$A, MATCH("zzz", Working!$A:$A)), MOD(ROW()-ROW(L$2)+L$1, COUNTA(Working!$A$2:INDEX(Working!$A:$A, MATCH("zzz", Working!$A:$A)))) + 1))</f>
        <v/>
      </c>
    </row>
    <row r="287" spans="3:12" ht="15.75" customHeight="1" x14ac:dyDescent="0.2">
      <c r="C287" t="str" cm="1">
        <f t="array" ref="C287">IF(Working!$A287="","",INDEX(Working!$A$2:INDEX(Working!$A:$A, MATCH("zzz", Working!$A:$A)), MOD(ROW()-ROW(C$2)+C$1, COUNTA(Working!$A$2:INDEX(Working!$A:$A, MATCH("zzz", Working!$A:$A)))) + 1))</f>
        <v/>
      </c>
      <c r="D287" t="str" cm="1">
        <f t="array" ref="D287">IF(Working!$A287="","",INDEX(Working!$A$2:INDEX(Working!$A:$A, MATCH("zzz", Working!$A:$A)), MOD(ROW()-ROW(D$2)+D$1, COUNTA(Working!$A$2:INDEX(Working!$A:$A, MATCH("zzz", Working!$A:$A)))) + 1))</f>
        <v/>
      </c>
      <c r="E287" t="str" cm="1">
        <f t="array" ref="E287">IF(Working!$A287="","",INDEX(Working!$A$2:INDEX(Working!$A:$A, MATCH("zzz", Working!$A:$A)), MOD(ROW()-ROW(E$2)+E$1, COUNTA(Working!$A$2:INDEX(Working!$A:$A, MATCH("zzz", Working!$A:$A)))) + 1))</f>
        <v/>
      </c>
      <c r="F287" t="str" cm="1">
        <f t="array" ref="F287">IF(Working!$A287="","",INDEX(Working!$A$2:INDEX(Working!$A:$A, MATCH("zzz", Working!$A:$A)), MOD(ROW()-ROW(F$2)+F$1, COUNTA(Working!$A$2:INDEX(Working!$A:$A, MATCH("zzz", Working!$A:$A)))) + 1))</f>
        <v/>
      </c>
      <c r="G287" t="str" cm="1">
        <f t="array" ref="G287">IF(Working!$A287="","",INDEX(Working!$A$2:INDEX(Working!$A:$A, MATCH("zzz", Working!$A:$A)), MOD(ROW()-ROW(G$2)+G$1, COUNTA(Working!$A$2:INDEX(Working!$A:$A, MATCH("zzz", Working!$A:$A)))) + 1))</f>
        <v/>
      </c>
      <c r="H287" t="str" cm="1">
        <f t="array" ref="H287">IF(Working!$A287="","",INDEX(Working!$A$2:INDEX(Working!$A:$A, MATCH("zzz", Working!$A:$A)), MOD(ROW()-ROW(H$2)+H$1, COUNTA(Working!$A$2:INDEX(Working!$A:$A, MATCH("zzz", Working!$A:$A)))) + 1))</f>
        <v/>
      </c>
      <c r="I287" t="str" cm="1">
        <f t="array" ref="I287">IF(Working!$A287="","",INDEX(Working!$A$2:INDEX(Working!$A:$A, MATCH("zzz", Working!$A:$A)), MOD(ROW()-ROW(I$2)+I$1, COUNTA(Working!$A$2:INDEX(Working!$A:$A, MATCH("zzz", Working!$A:$A)))) + 1))</f>
        <v/>
      </c>
      <c r="J287" t="str" cm="1">
        <f t="array" ref="J287">IF(Working!$A287="","",INDEX(Working!$A$2:INDEX(Working!$A:$A, MATCH("zzz", Working!$A:$A)), MOD(ROW()-ROW(J$2)+J$1, COUNTA(Working!$A$2:INDEX(Working!$A:$A, MATCH("zzz", Working!$A:$A)))) + 1))</f>
        <v/>
      </c>
      <c r="K287" t="str" cm="1">
        <f t="array" ref="K287">IF(Working!$A287="","",INDEX(Working!$A$2:INDEX(Working!$A:$A, MATCH("zzz", Working!$A:$A)), MOD(ROW()-ROW(K$2)+K$1, COUNTA(Working!$A$2:INDEX(Working!$A:$A, MATCH("zzz", Working!$A:$A)))) + 1))</f>
        <v/>
      </c>
      <c r="L287" t="str" cm="1">
        <f t="array" ref="L287">IF(Working!$A287="","",INDEX(Working!$A$2:INDEX(Working!$A:$A, MATCH("zzz", Working!$A:$A)), MOD(ROW()-ROW(L$2)+L$1, COUNTA(Working!$A$2:INDEX(Working!$A:$A, MATCH("zzz", Working!$A:$A)))) + 1))</f>
        <v/>
      </c>
    </row>
    <row r="288" spans="3:12" ht="15.75" customHeight="1" x14ac:dyDescent="0.2">
      <c r="C288" t="str" cm="1">
        <f t="array" ref="C288">IF(Working!$A288="","",INDEX(Working!$A$2:INDEX(Working!$A:$A, MATCH("zzz", Working!$A:$A)), MOD(ROW()-ROW(C$2)+C$1, COUNTA(Working!$A$2:INDEX(Working!$A:$A, MATCH("zzz", Working!$A:$A)))) + 1))</f>
        <v/>
      </c>
      <c r="D288" t="str" cm="1">
        <f t="array" ref="D288">IF(Working!$A288="","",INDEX(Working!$A$2:INDEX(Working!$A:$A, MATCH("zzz", Working!$A:$A)), MOD(ROW()-ROW(D$2)+D$1, COUNTA(Working!$A$2:INDEX(Working!$A:$A, MATCH("zzz", Working!$A:$A)))) + 1))</f>
        <v/>
      </c>
      <c r="E288" t="str" cm="1">
        <f t="array" ref="E288">IF(Working!$A288="","",INDEX(Working!$A$2:INDEX(Working!$A:$A, MATCH("zzz", Working!$A:$A)), MOD(ROW()-ROW(E$2)+E$1, COUNTA(Working!$A$2:INDEX(Working!$A:$A, MATCH("zzz", Working!$A:$A)))) + 1))</f>
        <v/>
      </c>
      <c r="F288" t="str" cm="1">
        <f t="array" ref="F288">IF(Working!$A288="","",INDEX(Working!$A$2:INDEX(Working!$A:$A, MATCH("zzz", Working!$A:$A)), MOD(ROW()-ROW(F$2)+F$1, COUNTA(Working!$A$2:INDEX(Working!$A:$A, MATCH("zzz", Working!$A:$A)))) + 1))</f>
        <v/>
      </c>
      <c r="G288" t="str" cm="1">
        <f t="array" ref="G288">IF(Working!$A288="","",INDEX(Working!$A$2:INDEX(Working!$A:$A, MATCH("zzz", Working!$A:$A)), MOD(ROW()-ROW(G$2)+G$1, COUNTA(Working!$A$2:INDEX(Working!$A:$A, MATCH("zzz", Working!$A:$A)))) + 1))</f>
        <v/>
      </c>
      <c r="H288" t="str" cm="1">
        <f t="array" ref="H288">IF(Working!$A288="","",INDEX(Working!$A$2:INDEX(Working!$A:$A, MATCH("zzz", Working!$A:$A)), MOD(ROW()-ROW(H$2)+H$1, COUNTA(Working!$A$2:INDEX(Working!$A:$A, MATCH("zzz", Working!$A:$A)))) + 1))</f>
        <v/>
      </c>
      <c r="I288" t="str" cm="1">
        <f t="array" ref="I288">IF(Working!$A288="","",INDEX(Working!$A$2:INDEX(Working!$A:$A, MATCH("zzz", Working!$A:$A)), MOD(ROW()-ROW(I$2)+I$1, COUNTA(Working!$A$2:INDEX(Working!$A:$A, MATCH("zzz", Working!$A:$A)))) + 1))</f>
        <v/>
      </c>
      <c r="J288" t="str" cm="1">
        <f t="array" ref="J288">IF(Working!$A288="","",INDEX(Working!$A$2:INDEX(Working!$A:$A, MATCH("zzz", Working!$A:$A)), MOD(ROW()-ROW(J$2)+J$1, COUNTA(Working!$A$2:INDEX(Working!$A:$A, MATCH("zzz", Working!$A:$A)))) + 1))</f>
        <v/>
      </c>
      <c r="K288" t="str" cm="1">
        <f t="array" ref="K288">IF(Working!$A288="","",INDEX(Working!$A$2:INDEX(Working!$A:$A, MATCH("zzz", Working!$A:$A)), MOD(ROW()-ROW(K$2)+K$1, COUNTA(Working!$A$2:INDEX(Working!$A:$A, MATCH("zzz", Working!$A:$A)))) + 1))</f>
        <v/>
      </c>
      <c r="L288" t="str" cm="1">
        <f t="array" ref="L288">IF(Working!$A288="","",INDEX(Working!$A$2:INDEX(Working!$A:$A, MATCH("zzz", Working!$A:$A)), MOD(ROW()-ROW(L$2)+L$1, COUNTA(Working!$A$2:INDEX(Working!$A:$A, MATCH("zzz", Working!$A:$A)))) + 1))</f>
        <v/>
      </c>
    </row>
    <row r="289" spans="3:12" ht="15.75" customHeight="1" x14ac:dyDescent="0.2">
      <c r="C289" t="str" cm="1">
        <f t="array" ref="C289">IF(Working!$A289="","",INDEX(Working!$A$2:INDEX(Working!$A:$A, MATCH("zzz", Working!$A:$A)), MOD(ROW()-ROW(C$2)+C$1, COUNTA(Working!$A$2:INDEX(Working!$A:$A, MATCH("zzz", Working!$A:$A)))) + 1))</f>
        <v/>
      </c>
      <c r="D289" t="str" cm="1">
        <f t="array" ref="D289">IF(Working!$A289="","",INDEX(Working!$A$2:INDEX(Working!$A:$A, MATCH("zzz", Working!$A:$A)), MOD(ROW()-ROW(D$2)+D$1, COUNTA(Working!$A$2:INDEX(Working!$A:$A, MATCH("zzz", Working!$A:$A)))) + 1))</f>
        <v/>
      </c>
      <c r="E289" t="str" cm="1">
        <f t="array" ref="E289">IF(Working!$A289="","",INDEX(Working!$A$2:INDEX(Working!$A:$A, MATCH("zzz", Working!$A:$A)), MOD(ROW()-ROW(E$2)+E$1, COUNTA(Working!$A$2:INDEX(Working!$A:$A, MATCH("zzz", Working!$A:$A)))) + 1))</f>
        <v/>
      </c>
      <c r="F289" t="str" cm="1">
        <f t="array" ref="F289">IF(Working!$A289="","",INDEX(Working!$A$2:INDEX(Working!$A:$A, MATCH("zzz", Working!$A:$A)), MOD(ROW()-ROW(F$2)+F$1, COUNTA(Working!$A$2:INDEX(Working!$A:$A, MATCH("zzz", Working!$A:$A)))) + 1))</f>
        <v/>
      </c>
      <c r="G289" t="str" cm="1">
        <f t="array" ref="G289">IF(Working!$A289="","",INDEX(Working!$A$2:INDEX(Working!$A:$A, MATCH("zzz", Working!$A:$A)), MOD(ROW()-ROW(G$2)+G$1, COUNTA(Working!$A$2:INDEX(Working!$A:$A, MATCH("zzz", Working!$A:$A)))) + 1))</f>
        <v/>
      </c>
      <c r="H289" t="str" cm="1">
        <f t="array" ref="H289">IF(Working!$A289="","",INDEX(Working!$A$2:INDEX(Working!$A:$A, MATCH("zzz", Working!$A:$A)), MOD(ROW()-ROW(H$2)+H$1, COUNTA(Working!$A$2:INDEX(Working!$A:$A, MATCH("zzz", Working!$A:$A)))) + 1))</f>
        <v/>
      </c>
      <c r="I289" t="str" cm="1">
        <f t="array" ref="I289">IF(Working!$A289="","",INDEX(Working!$A$2:INDEX(Working!$A:$A, MATCH("zzz", Working!$A:$A)), MOD(ROW()-ROW(I$2)+I$1, COUNTA(Working!$A$2:INDEX(Working!$A:$A, MATCH("zzz", Working!$A:$A)))) + 1))</f>
        <v/>
      </c>
      <c r="J289" t="str" cm="1">
        <f t="array" ref="J289">IF(Working!$A289="","",INDEX(Working!$A$2:INDEX(Working!$A:$A, MATCH("zzz", Working!$A:$A)), MOD(ROW()-ROW(J$2)+J$1, COUNTA(Working!$A$2:INDEX(Working!$A:$A, MATCH("zzz", Working!$A:$A)))) + 1))</f>
        <v/>
      </c>
      <c r="K289" t="str" cm="1">
        <f t="array" ref="K289">IF(Working!$A289="","",INDEX(Working!$A$2:INDEX(Working!$A:$A, MATCH("zzz", Working!$A:$A)), MOD(ROW()-ROW(K$2)+K$1, COUNTA(Working!$A$2:INDEX(Working!$A:$A, MATCH("zzz", Working!$A:$A)))) + 1))</f>
        <v/>
      </c>
      <c r="L289" t="str" cm="1">
        <f t="array" ref="L289">IF(Working!$A289="","",INDEX(Working!$A$2:INDEX(Working!$A:$A, MATCH("zzz", Working!$A:$A)), MOD(ROW()-ROW(L$2)+L$1, COUNTA(Working!$A$2:INDEX(Working!$A:$A, MATCH("zzz", Working!$A:$A)))) + 1))</f>
        <v/>
      </c>
    </row>
    <row r="290" spans="3:12" ht="15.75" customHeight="1" x14ac:dyDescent="0.2">
      <c r="C290" t="str" cm="1">
        <f t="array" ref="C290">IF(Working!$A290="","",INDEX(Working!$A$2:INDEX(Working!$A:$A, MATCH("zzz", Working!$A:$A)), MOD(ROW()-ROW(C$2)+C$1, COUNTA(Working!$A$2:INDEX(Working!$A:$A, MATCH("zzz", Working!$A:$A)))) + 1))</f>
        <v/>
      </c>
      <c r="D290" t="str" cm="1">
        <f t="array" ref="D290">IF(Working!$A290="","",INDEX(Working!$A$2:INDEX(Working!$A:$A, MATCH("zzz", Working!$A:$A)), MOD(ROW()-ROW(D$2)+D$1, COUNTA(Working!$A$2:INDEX(Working!$A:$A, MATCH("zzz", Working!$A:$A)))) + 1))</f>
        <v/>
      </c>
      <c r="E290" t="str" cm="1">
        <f t="array" ref="E290">IF(Working!$A290="","",INDEX(Working!$A$2:INDEX(Working!$A:$A, MATCH("zzz", Working!$A:$A)), MOD(ROW()-ROW(E$2)+E$1, COUNTA(Working!$A$2:INDEX(Working!$A:$A, MATCH("zzz", Working!$A:$A)))) + 1))</f>
        <v/>
      </c>
      <c r="F290" t="str" cm="1">
        <f t="array" ref="F290">IF(Working!$A290="","",INDEX(Working!$A$2:INDEX(Working!$A:$A, MATCH("zzz", Working!$A:$A)), MOD(ROW()-ROW(F$2)+F$1, COUNTA(Working!$A$2:INDEX(Working!$A:$A, MATCH("zzz", Working!$A:$A)))) + 1))</f>
        <v/>
      </c>
      <c r="G290" t="str" cm="1">
        <f t="array" ref="G290">IF(Working!$A290="","",INDEX(Working!$A$2:INDEX(Working!$A:$A, MATCH("zzz", Working!$A:$A)), MOD(ROW()-ROW(G$2)+G$1, COUNTA(Working!$A$2:INDEX(Working!$A:$A, MATCH("zzz", Working!$A:$A)))) + 1))</f>
        <v/>
      </c>
      <c r="H290" t="str" cm="1">
        <f t="array" ref="H290">IF(Working!$A290="","",INDEX(Working!$A$2:INDEX(Working!$A:$A, MATCH("zzz", Working!$A:$A)), MOD(ROW()-ROW(H$2)+H$1, COUNTA(Working!$A$2:INDEX(Working!$A:$A, MATCH("zzz", Working!$A:$A)))) + 1))</f>
        <v/>
      </c>
      <c r="I290" t="str" cm="1">
        <f t="array" ref="I290">IF(Working!$A290="","",INDEX(Working!$A$2:INDEX(Working!$A:$A, MATCH("zzz", Working!$A:$A)), MOD(ROW()-ROW(I$2)+I$1, COUNTA(Working!$A$2:INDEX(Working!$A:$A, MATCH("zzz", Working!$A:$A)))) + 1))</f>
        <v/>
      </c>
      <c r="J290" t="str" cm="1">
        <f t="array" ref="J290">IF(Working!$A290="","",INDEX(Working!$A$2:INDEX(Working!$A:$A, MATCH("zzz", Working!$A:$A)), MOD(ROW()-ROW(J$2)+J$1, COUNTA(Working!$A$2:INDEX(Working!$A:$A, MATCH("zzz", Working!$A:$A)))) + 1))</f>
        <v/>
      </c>
      <c r="K290" t="str" cm="1">
        <f t="array" ref="K290">IF(Working!$A290="","",INDEX(Working!$A$2:INDEX(Working!$A:$A, MATCH("zzz", Working!$A:$A)), MOD(ROW()-ROW(K$2)+K$1, COUNTA(Working!$A$2:INDEX(Working!$A:$A, MATCH("zzz", Working!$A:$A)))) + 1))</f>
        <v/>
      </c>
      <c r="L290" t="str" cm="1">
        <f t="array" ref="L290">IF(Working!$A290="","",INDEX(Working!$A$2:INDEX(Working!$A:$A, MATCH("zzz", Working!$A:$A)), MOD(ROW()-ROW(L$2)+L$1, COUNTA(Working!$A$2:INDEX(Working!$A:$A, MATCH("zzz", Working!$A:$A)))) + 1))</f>
        <v/>
      </c>
    </row>
    <row r="291" spans="3:12" ht="15.75" customHeight="1" x14ac:dyDescent="0.2">
      <c r="C291" t="str" cm="1">
        <f t="array" ref="C291">IF(Working!$A291="","",INDEX(Working!$A$2:INDEX(Working!$A:$A, MATCH("zzz", Working!$A:$A)), MOD(ROW()-ROW(C$2)+C$1, COUNTA(Working!$A$2:INDEX(Working!$A:$A, MATCH("zzz", Working!$A:$A)))) + 1))</f>
        <v/>
      </c>
      <c r="D291" t="str" cm="1">
        <f t="array" ref="D291">IF(Working!$A291="","",INDEX(Working!$A$2:INDEX(Working!$A:$A, MATCH("zzz", Working!$A:$A)), MOD(ROW()-ROW(D$2)+D$1, COUNTA(Working!$A$2:INDEX(Working!$A:$A, MATCH("zzz", Working!$A:$A)))) + 1))</f>
        <v/>
      </c>
      <c r="E291" t="str" cm="1">
        <f t="array" ref="E291">IF(Working!$A291="","",INDEX(Working!$A$2:INDEX(Working!$A:$A, MATCH("zzz", Working!$A:$A)), MOD(ROW()-ROW(E$2)+E$1, COUNTA(Working!$A$2:INDEX(Working!$A:$A, MATCH("zzz", Working!$A:$A)))) + 1))</f>
        <v/>
      </c>
      <c r="F291" t="str" cm="1">
        <f t="array" ref="F291">IF(Working!$A291="","",INDEX(Working!$A$2:INDEX(Working!$A:$A, MATCH("zzz", Working!$A:$A)), MOD(ROW()-ROW(F$2)+F$1, COUNTA(Working!$A$2:INDEX(Working!$A:$A, MATCH("zzz", Working!$A:$A)))) + 1))</f>
        <v/>
      </c>
      <c r="G291" t="str" cm="1">
        <f t="array" ref="G291">IF(Working!$A291="","",INDEX(Working!$A$2:INDEX(Working!$A:$A, MATCH("zzz", Working!$A:$A)), MOD(ROW()-ROW(G$2)+G$1, COUNTA(Working!$A$2:INDEX(Working!$A:$A, MATCH("zzz", Working!$A:$A)))) + 1))</f>
        <v/>
      </c>
      <c r="H291" t="str" cm="1">
        <f t="array" ref="H291">IF(Working!$A291="","",INDEX(Working!$A$2:INDEX(Working!$A:$A, MATCH("zzz", Working!$A:$A)), MOD(ROW()-ROW(H$2)+H$1, COUNTA(Working!$A$2:INDEX(Working!$A:$A, MATCH("zzz", Working!$A:$A)))) + 1))</f>
        <v/>
      </c>
      <c r="I291" t="str" cm="1">
        <f t="array" ref="I291">IF(Working!$A291="","",INDEX(Working!$A$2:INDEX(Working!$A:$A, MATCH("zzz", Working!$A:$A)), MOD(ROW()-ROW(I$2)+I$1, COUNTA(Working!$A$2:INDEX(Working!$A:$A, MATCH("zzz", Working!$A:$A)))) + 1))</f>
        <v/>
      </c>
      <c r="J291" t="str" cm="1">
        <f t="array" ref="J291">IF(Working!$A291="","",INDEX(Working!$A$2:INDEX(Working!$A:$A, MATCH("zzz", Working!$A:$A)), MOD(ROW()-ROW(J$2)+J$1, COUNTA(Working!$A$2:INDEX(Working!$A:$A, MATCH("zzz", Working!$A:$A)))) + 1))</f>
        <v/>
      </c>
      <c r="K291" t="str" cm="1">
        <f t="array" ref="K291">IF(Working!$A291="","",INDEX(Working!$A$2:INDEX(Working!$A:$A, MATCH("zzz", Working!$A:$A)), MOD(ROW()-ROW(K$2)+K$1, COUNTA(Working!$A$2:INDEX(Working!$A:$A, MATCH("zzz", Working!$A:$A)))) + 1))</f>
        <v/>
      </c>
      <c r="L291" t="str" cm="1">
        <f t="array" ref="L291">IF(Working!$A291="","",INDEX(Working!$A$2:INDEX(Working!$A:$A, MATCH("zzz", Working!$A:$A)), MOD(ROW()-ROW(L$2)+L$1, COUNTA(Working!$A$2:INDEX(Working!$A:$A, MATCH("zzz", Working!$A:$A)))) + 1))</f>
        <v/>
      </c>
    </row>
    <row r="292" spans="3:12" ht="15.75" customHeight="1" x14ac:dyDescent="0.2">
      <c r="C292" t="str" cm="1">
        <f t="array" ref="C292">IF(Working!$A292="","",INDEX(Working!$A$2:INDEX(Working!$A:$A, MATCH("zzz", Working!$A:$A)), MOD(ROW()-ROW(C$2)+C$1, COUNTA(Working!$A$2:INDEX(Working!$A:$A, MATCH("zzz", Working!$A:$A)))) + 1))</f>
        <v/>
      </c>
      <c r="D292" t="str" cm="1">
        <f t="array" ref="D292">IF(Working!$A292="","",INDEX(Working!$A$2:INDEX(Working!$A:$A, MATCH("zzz", Working!$A:$A)), MOD(ROW()-ROW(D$2)+D$1, COUNTA(Working!$A$2:INDEX(Working!$A:$A, MATCH("zzz", Working!$A:$A)))) + 1))</f>
        <v/>
      </c>
      <c r="E292" t="str" cm="1">
        <f t="array" ref="E292">IF(Working!$A292="","",INDEX(Working!$A$2:INDEX(Working!$A:$A, MATCH("zzz", Working!$A:$A)), MOD(ROW()-ROW(E$2)+E$1, COUNTA(Working!$A$2:INDEX(Working!$A:$A, MATCH("zzz", Working!$A:$A)))) + 1))</f>
        <v/>
      </c>
      <c r="F292" t="str" cm="1">
        <f t="array" ref="F292">IF(Working!$A292="","",INDEX(Working!$A$2:INDEX(Working!$A:$A, MATCH("zzz", Working!$A:$A)), MOD(ROW()-ROW(F$2)+F$1, COUNTA(Working!$A$2:INDEX(Working!$A:$A, MATCH("zzz", Working!$A:$A)))) + 1))</f>
        <v/>
      </c>
      <c r="G292" t="str" cm="1">
        <f t="array" ref="G292">IF(Working!$A292="","",INDEX(Working!$A$2:INDEX(Working!$A:$A, MATCH("zzz", Working!$A:$A)), MOD(ROW()-ROW(G$2)+G$1, COUNTA(Working!$A$2:INDEX(Working!$A:$A, MATCH("zzz", Working!$A:$A)))) + 1))</f>
        <v/>
      </c>
      <c r="H292" t="str" cm="1">
        <f t="array" ref="H292">IF(Working!$A292="","",INDEX(Working!$A$2:INDEX(Working!$A:$A, MATCH("zzz", Working!$A:$A)), MOD(ROW()-ROW(H$2)+H$1, COUNTA(Working!$A$2:INDEX(Working!$A:$A, MATCH("zzz", Working!$A:$A)))) + 1))</f>
        <v/>
      </c>
      <c r="I292" t="str" cm="1">
        <f t="array" ref="I292">IF(Working!$A292="","",INDEX(Working!$A$2:INDEX(Working!$A:$A, MATCH("zzz", Working!$A:$A)), MOD(ROW()-ROW(I$2)+I$1, COUNTA(Working!$A$2:INDEX(Working!$A:$A, MATCH("zzz", Working!$A:$A)))) + 1))</f>
        <v/>
      </c>
      <c r="J292" t="str" cm="1">
        <f t="array" ref="J292">IF(Working!$A292="","",INDEX(Working!$A$2:INDEX(Working!$A:$A, MATCH("zzz", Working!$A:$A)), MOD(ROW()-ROW(J$2)+J$1, COUNTA(Working!$A$2:INDEX(Working!$A:$A, MATCH("zzz", Working!$A:$A)))) + 1))</f>
        <v/>
      </c>
      <c r="K292" t="str" cm="1">
        <f t="array" ref="K292">IF(Working!$A292="","",INDEX(Working!$A$2:INDEX(Working!$A:$A, MATCH("zzz", Working!$A:$A)), MOD(ROW()-ROW(K$2)+K$1, COUNTA(Working!$A$2:INDEX(Working!$A:$A, MATCH("zzz", Working!$A:$A)))) + 1))</f>
        <v/>
      </c>
      <c r="L292" t="str" cm="1">
        <f t="array" ref="L292">IF(Working!$A292="","",INDEX(Working!$A$2:INDEX(Working!$A:$A, MATCH("zzz", Working!$A:$A)), MOD(ROW()-ROW(L$2)+L$1, COUNTA(Working!$A$2:INDEX(Working!$A:$A, MATCH("zzz", Working!$A:$A)))) + 1))</f>
        <v/>
      </c>
    </row>
    <row r="293" spans="3:12" ht="15.75" customHeight="1" x14ac:dyDescent="0.2">
      <c r="C293" t="str" cm="1">
        <f t="array" ref="C293">IF(Working!$A293="","",INDEX(Working!$A$2:INDEX(Working!$A:$A, MATCH("zzz", Working!$A:$A)), MOD(ROW()-ROW(C$2)+C$1, COUNTA(Working!$A$2:INDEX(Working!$A:$A, MATCH("zzz", Working!$A:$A)))) + 1))</f>
        <v/>
      </c>
      <c r="D293" t="str" cm="1">
        <f t="array" ref="D293">IF(Working!$A293="","",INDEX(Working!$A$2:INDEX(Working!$A:$A, MATCH("zzz", Working!$A:$A)), MOD(ROW()-ROW(D$2)+D$1, COUNTA(Working!$A$2:INDEX(Working!$A:$A, MATCH("zzz", Working!$A:$A)))) + 1))</f>
        <v/>
      </c>
      <c r="E293" t="str" cm="1">
        <f t="array" ref="E293">IF(Working!$A293="","",INDEX(Working!$A$2:INDEX(Working!$A:$A, MATCH("zzz", Working!$A:$A)), MOD(ROW()-ROW(E$2)+E$1, COUNTA(Working!$A$2:INDEX(Working!$A:$A, MATCH("zzz", Working!$A:$A)))) + 1))</f>
        <v/>
      </c>
      <c r="F293" t="str" cm="1">
        <f t="array" ref="F293">IF(Working!$A293="","",INDEX(Working!$A$2:INDEX(Working!$A:$A, MATCH("zzz", Working!$A:$A)), MOD(ROW()-ROW(F$2)+F$1, COUNTA(Working!$A$2:INDEX(Working!$A:$A, MATCH("zzz", Working!$A:$A)))) + 1))</f>
        <v/>
      </c>
      <c r="G293" t="str" cm="1">
        <f t="array" ref="G293">IF(Working!$A293="","",INDEX(Working!$A$2:INDEX(Working!$A:$A, MATCH("zzz", Working!$A:$A)), MOD(ROW()-ROW(G$2)+G$1, COUNTA(Working!$A$2:INDEX(Working!$A:$A, MATCH("zzz", Working!$A:$A)))) + 1))</f>
        <v/>
      </c>
      <c r="H293" t="str" cm="1">
        <f t="array" ref="H293">IF(Working!$A293="","",INDEX(Working!$A$2:INDEX(Working!$A:$A, MATCH("zzz", Working!$A:$A)), MOD(ROW()-ROW(H$2)+H$1, COUNTA(Working!$A$2:INDEX(Working!$A:$A, MATCH("zzz", Working!$A:$A)))) + 1))</f>
        <v/>
      </c>
      <c r="I293" t="str" cm="1">
        <f t="array" ref="I293">IF(Working!$A293="","",INDEX(Working!$A$2:INDEX(Working!$A:$A, MATCH("zzz", Working!$A:$A)), MOD(ROW()-ROW(I$2)+I$1, COUNTA(Working!$A$2:INDEX(Working!$A:$A, MATCH("zzz", Working!$A:$A)))) + 1))</f>
        <v/>
      </c>
      <c r="J293" t="str" cm="1">
        <f t="array" ref="J293">IF(Working!$A293="","",INDEX(Working!$A$2:INDEX(Working!$A:$A, MATCH("zzz", Working!$A:$A)), MOD(ROW()-ROW(J$2)+J$1, COUNTA(Working!$A$2:INDEX(Working!$A:$A, MATCH("zzz", Working!$A:$A)))) + 1))</f>
        <v/>
      </c>
      <c r="K293" t="str" cm="1">
        <f t="array" ref="K293">IF(Working!$A293="","",INDEX(Working!$A$2:INDEX(Working!$A:$A, MATCH("zzz", Working!$A:$A)), MOD(ROW()-ROW(K$2)+K$1, COUNTA(Working!$A$2:INDEX(Working!$A:$A, MATCH("zzz", Working!$A:$A)))) + 1))</f>
        <v/>
      </c>
      <c r="L293" t="str" cm="1">
        <f t="array" ref="L293">IF(Working!$A293="","",INDEX(Working!$A$2:INDEX(Working!$A:$A, MATCH("zzz", Working!$A:$A)), MOD(ROW()-ROW(L$2)+L$1, COUNTA(Working!$A$2:INDEX(Working!$A:$A, MATCH("zzz", Working!$A:$A)))) + 1))</f>
        <v/>
      </c>
    </row>
    <row r="294" spans="3:12" ht="15.75" customHeight="1" x14ac:dyDescent="0.2">
      <c r="C294" t="str" cm="1">
        <f t="array" ref="C294">IF(Working!$A294="","",INDEX(Working!$A$2:INDEX(Working!$A:$A, MATCH("zzz", Working!$A:$A)), MOD(ROW()-ROW(C$2)+C$1, COUNTA(Working!$A$2:INDEX(Working!$A:$A, MATCH("zzz", Working!$A:$A)))) + 1))</f>
        <v/>
      </c>
      <c r="D294" t="str" cm="1">
        <f t="array" ref="D294">IF(Working!$A294="","",INDEX(Working!$A$2:INDEX(Working!$A:$A, MATCH("zzz", Working!$A:$A)), MOD(ROW()-ROW(D$2)+D$1, COUNTA(Working!$A$2:INDEX(Working!$A:$A, MATCH("zzz", Working!$A:$A)))) + 1))</f>
        <v/>
      </c>
      <c r="E294" t="str" cm="1">
        <f t="array" ref="E294">IF(Working!$A294="","",INDEX(Working!$A$2:INDEX(Working!$A:$A, MATCH("zzz", Working!$A:$A)), MOD(ROW()-ROW(E$2)+E$1, COUNTA(Working!$A$2:INDEX(Working!$A:$A, MATCH("zzz", Working!$A:$A)))) + 1))</f>
        <v/>
      </c>
      <c r="F294" t="str" cm="1">
        <f t="array" ref="F294">IF(Working!$A294="","",INDEX(Working!$A$2:INDEX(Working!$A:$A, MATCH("zzz", Working!$A:$A)), MOD(ROW()-ROW(F$2)+F$1, COUNTA(Working!$A$2:INDEX(Working!$A:$A, MATCH("zzz", Working!$A:$A)))) + 1))</f>
        <v/>
      </c>
      <c r="G294" t="str" cm="1">
        <f t="array" ref="G294">IF(Working!$A294="","",INDEX(Working!$A$2:INDEX(Working!$A:$A, MATCH("zzz", Working!$A:$A)), MOD(ROW()-ROW(G$2)+G$1, COUNTA(Working!$A$2:INDEX(Working!$A:$A, MATCH("zzz", Working!$A:$A)))) + 1))</f>
        <v/>
      </c>
      <c r="H294" t="str" cm="1">
        <f t="array" ref="H294">IF(Working!$A294="","",INDEX(Working!$A$2:INDEX(Working!$A:$A, MATCH("zzz", Working!$A:$A)), MOD(ROW()-ROW(H$2)+H$1, COUNTA(Working!$A$2:INDEX(Working!$A:$A, MATCH("zzz", Working!$A:$A)))) + 1))</f>
        <v/>
      </c>
      <c r="I294" t="str" cm="1">
        <f t="array" ref="I294">IF(Working!$A294="","",INDEX(Working!$A$2:INDEX(Working!$A:$A, MATCH("zzz", Working!$A:$A)), MOD(ROW()-ROW(I$2)+I$1, COUNTA(Working!$A$2:INDEX(Working!$A:$A, MATCH("zzz", Working!$A:$A)))) + 1))</f>
        <v/>
      </c>
      <c r="J294" t="str" cm="1">
        <f t="array" ref="J294">IF(Working!$A294="","",INDEX(Working!$A$2:INDEX(Working!$A:$A, MATCH("zzz", Working!$A:$A)), MOD(ROW()-ROW(J$2)+J$1, COUNTA(Working!$A$2:INDEX(Working!$A:$A, MATCH("zzz", Working!$A:$A)))) + 1))</f>
        <v/>
      </c>
      <c r="K294" t="str" cm="1">
        <f t="array" ref="K294">IF(Working!$A294="","",INDEX(Working!$A$2:INDEX(Working!$A:$A, MATCH("zzz", Working!$A:$A)), MOD(ROW()-ROW(K$2)+K$1, COUNTA(Working!$A$2:INDEX(Working!$A:$A, MATCH("zzz", Working!$A:$A)))) + 1))</f>
        <v/>
      </c>
      <c r="L294" t="str" cm="1">
        <f t="array" ref="L294">IF(Working!$A294="","",INDEX(Working!$A$2:INDEX(Working!$A:$A, MATCH("zzz", Working!$A:$A)), MOD(ROW()-ROW(L$2)+L$1, COUNTA(Working!$A$2:INDEX(Working!$A:$A, MATCH("zzz", Working!$A:$A)))) + 1))</f>
        <v/>
      </c>
    </row>
    <row r="295" spans="3:12" ht="15.75" customHeight="1" x14ac:dyDescent="0.2">
      <c r="C295" t="str" cm="1">
        <f t="array" ref="C295">IF(Working!$A295="","",INDEX(Working!$A$2:INDEX(Working!$A:$A, MATCH("zzz", Working!$A:$A)), MOD(ROW()-ROW(C$2)+C$1, COUNTA(Working!$A$2:INDEX(Working!$A:$A, MATCH("zzz", Working!$A:$A)))) + 1))</f>
        <v/>
      </c>
      <c r="D295" t="str" cm="1">
        <f t="array" ref="D295">IF(Working!$A295="","",INDEX(Working!$A$2:INDEX(Working!$A:$A, MATCH("zzz", Working!$A:$A)), MOD(ROW()-ROW(D$2)+D$1, COUNTA(Working!$A$2:INDEX(Working!$A:$A, MATCH("zzz", Working!$A:$A)))) + 1))</f>
        <v/>
      </c>
      <c r="E295" t="str" cm="1">
        <f t="array" ref="E295">IF(Working!$A295="","",INDEX(Working!$A$2:INDEX(Working!$A:$A, MATCH("zzz", Working!$A:$A)), MOD(ROW()-ROW(E$2)+E$1, COUNTA(Working!$A$2:INDEX(Working!$A:$A, MATCH("zzz", Working!$A:$A)))) + 1))</f>
        <v/>
      </c>
      <c r="F295" t="str" cm="1">
        <f t="array" ref="F295">IF(Working!$A295="","",INDEX(Working!$A$2:INDEX(Working!$A:$A, MATCH("zzz", Working!$A:$A)), MOD(ROW()-ROW(F$2)+F$1, COUNTA(Working!$A$2:INDEX(Working!$A:$A, MATCH("zzz", Working!$A:$A)))) + 1))</f>
        <v/>
      </c>
      <c r="G295" t="str" cm="1">
        <f t="array" ref="G295">IF(Working!$A295="","",INDEX(Working!$A$2:INDEX(Working!$A:$A, MATCH("zzz", Working!$A:$A)), MOD(ROW()-ROW(G$2)+G$1, COUNTA(Working!$A$2:INDEX(Working!$A:$A, MATCH("zzz", Working!$A:$A)))) + 1))</f>
        <v/>
      </c>
      <c r="H295" t="str" cm="1">
        <f t="array" ref="H295">IF(Working!$A295="","",INDEX(Working!$A$2:INDEX(Working!$A:$A, MATCH("zzz", Working!$A:$A)), MOD(ROW()-ROW(H$2)+H$1, COUNTA(Working!$A$2:INDEX(Working!$A:$A, MATCH("zzz", Working!$A:$A)))) + 1))</f>
        <v/>
      </c>
      <c r="I295" t="str" cm="1">
        <f t="array" ref="I295">IF(Working!$A295="","",INDEX(Working!$A$2:INDEX(Working!$A:$A, MATCH("zzz", Working!$A:$A)), MOD(ROW()-ROW(I$2)+I$1, COUNTA(Working!$A$2:INDEX(Working!$A:$A, MATCH("zzz", Working!$A:$A)))) + 1))</f>
        <v/>
      </c>
      <c r="J295" t="str" cm="1">
        <f t="array" ref="J295">IF(Working!$A295="","",INDEX(Working!$A$2:INDEX(Working!$A:$A, MATCH("zzz", Working!$A:$A)), MOD(ROW()-ROW(J$2)+J$1, COUNTA(Working!$A$2:INDEX(Working!$A:$A, MATCH("zzz", Working!$A:$A)))) + 1))</f>
        <v/>
      </c>
      <c r="K295" t="str" cm="1">
        <f t="array" ref="K295">IF(Working!$A295="","",INDEX(Working!$A$2:INDEX(Working!$A:$A, MATCH("zzz", Working!$A:$A)), MOD(ROW()-ROW(K$2)+K$1, COUNTA(Working!$A$2:INDEX(Working!$A:$A, MATCH("zzz", Working!$A:$A)))) + 1))</f>
        <v/>
      </c>
      <c r="L295" t="str" cm="1">
        <f t="array" ref="L295">IF(Working!$A295="","",INDEX(Working!$A$2:INDEX(Working!$A:$A, MATCH("zzz", Working!$A:$A)), MOD(ROW()-ROW(L$2)+L$1, COUNTA(Working!$A$2:INDEX(Working!$A:$A, MATCH("zzz", Working!$A:$A)))) + 1))</f>
        <v/>
      </c>
    </row>
    <row r="296" spans="3:12" ht="15.75" customHeight="1" x14ac:dyDescent="0.2">
      <c r="C296" t="str" cm="1">
        <f t="array" ref="C296">IF(Working!$A296="","",INDEX(Working!$A$2:INDEX(Working!$A:$A, MATCH("zzz", Working!$A:$A)), MOD(ROW()-ROW(C$2)+C$1, COUNTA(Working!$A$2:INDEX(Working!$A:$A, MATCH("zzz", Working!$A:$A)))) + 1))</f>
        <v/>
      </c>
      <c r="D296" t="str" cm="1">
        <f t="array" ref="D296">IF(Working!$A296="","",INDEX(Working!$A$2:INDEX(Working!$A:$A, MATCH("zzz", Working!$A:$A)), MOD(ROW()-ROW(D$2)+D$1, COUNTA(Working!$A$2:INDEX(Working!$A:$A, MATCH("zzz", Working!$A:$A)))) + 1))</f>
        <v/>
      </c>
      <c r="E296" t="str" cm="1">
        <f t="array" ref="E296">IF(Working!$A296="","",INDEX(Working!$A$2:INDEX(Working!$A:$A, MATCH("zzz", Working!$A:$A)), MOD(ROW()-ROW(E$2)+E$1, COUNTA(Working!$A$2:INDEX(Working!$A:$A, MATCH("zzz", Working!$A:$A)))) + 1))</f>
        <v/>
      </c>
      <c r="F296" t="str" cm="1">
        <f t="array" ref="F296">IF(Working!$A296="","",INDEX(Working!$A$2:INDEX(Working!$A:$A, MATCH("zzz", Working!$A:$A)), MOD(ROW()-ROW(F$2)+F$1, COUNTA(Working!$A$2:INDEX(Working!$A:$A, MATCH("zzz", Working!$A:$A)))) + 1))</f>
        <v/>
      </c>
      <c r="G296" t="str" cm="1">
        <f t="array" ref="G296">IF(Working!$A296="","",INDEX(Working!$A$2:INDEX(Working!$A:$A, MATCH("zzz", Working!$A:$A)), MOD(ROW()-ROW(G$2)+G$1, COUNTA(Working!$A$2:INDEX(Working!$A:$A, MATCH("zzz", Working!$A:$A)))) + 1))</f>
        <v/>
      </c>
      <c r="H296" t="str" cm="1">
        <f t="array" ref="H296">IF(Working!$A296="","",INDEX(Working!$A$2:INDEX(Working!$A:$A, MATCH("zzz", Working!$A:$A)), MOD(ROW()-ROW(H$2)+H$1, COUNTA(Working!$A$2:INDEX(Working!$A:$A, MATCH("zzz", Working!$A:$A)))) + 1))</f>
        <v/>
      </c>
      <c r="I296" t="str" cm="1">
        <f t="array" ref="I296">IF(Working!$A296="","",INDEX(Working!$A$2:INDEX(Working!$A:$A, MATCH("zzz", Working!$A:$A)), MOD(ROW()-ROW(I$2)+I$1, COUNTA(Working!$A$2:INDEX(Working!$A:$A, MATCH("zzz", Working!$A:$A)))) + 1))</f>
        <v/>
      </c>
      <c r="J296" t="str" cm="1">
        <f t="array" ref="J296">IF(Working!$A296="","",INDEX(Working!$A$2:INDEX(Working!$A:$A, MATCH("zzz", Working!$A:$A)), MOD(ROW()-ROW(J$2)+J$1, COUNTA(Working!$A$2:INDEX(Working!$A:$A, MATCH("zzz", Working!$A:$A)))) + 1))</f>
        <v/>
      </c>
      <c r="K296" t="str" cm="1">
        <f t="array" ref="K296">IF(Working!$A296="","",INDEX(Working!$A$2:INDEX(Working!$A:$A, MATCH("zzz", Working!$A:$A)), MOD(ROW()-ROW(K$2)+K$1, COUNTA(Working!$A$2:INDEX(Working!$A:$A, MATCH("zzz", Working!$A:$A)))) + 1))</f>
        <v/>
      </c>
      <c r="L296" t="str" cm="1">
        <f t="array" ref="L296">IF(Working!$A296="","",INDEX(Working!$A$2:INDEX(Working!$A:$A, MATCH("zzz", Working!$A:$A)), MOD(ROW()-ROW(L$2)+L$1, COUNTA(Working!$A$2:INDEX(Working!$A:$A, MATCH("zzz", Working!$A:$A)))) + 1))</f>
        <v/>
      </c>
    </row>
    <row r="297" spans="3:12" ht="15.75" customHeight="1" x14ac:dyDescent="0.2">
      <c r="C297" t="str" cm="1">
        <f t="array" ref="C297">IF(Working!$A297="","",INDEX(Working!$A$2:INDEX(Working!$A:$A, MATCH("zzz", Working!$A:$A)), MOD(ROW()-ROW(C$2)+C$1, COUNTA(Working!$A$2:INDEX(Working!$A:$A, MATCH("zzz", Working!$A:$A)))) + 1))</f>
        <v/>
      </c>
      <c r="D297" t="str" cm="1">
        <f t="array" ref="D297">IF(Working!$A297="","",INDEX(Working!$A$2:INDEX(Working!$A:$A, MATCH("zzz", Working!$A:$A)), MOD(ROW()-ROW(D$2)+D$1, COUNTA(Working!$A$2:INDEX(Working!$A:$A, MATCH("zzz", Working!$A:$A)))) + 1))</f>
        <v/>
      </c>
      <c r="E297" t="str" cm="1">
        <f t="array" ref="E297">IF(Working!$A297="","",INDEX(Working!$A$2:INDEX(Working!$A:$A, MATCH("zzz", Working!$A:$A)), MOD(ROW()-ROW(E$2)+E$1, COUNTA(Working!$A$2:INDEX(Working!$A:$A, MATCH("zzz", Working!$A:$A)))) + 1))</f>
        <v/>
      </c>
      <c r="F297" t="str" cm="1">
        <f t="array" ref="F297">IF(Working!$A297="","",INDEX(Working!$A$2:INDEX(Working!$A:$A, MATCH("zzz", Working!$A:$A)), MOD(ROW()-ROW(F$2)+F$1, COUNTA(Working!$A$2:INDEX(Working!$A:$A, MATCH("zzz", Working!$A:$A)))) + 1))</f>
        <v/>
      </c>
      <c r="G297" t="str" cm="1">
        <f t="array" ref="G297">IF(Working!$A297="","",INDEX(Working!$A$2:INDEX(Working!$A:$A, MATCH("zzz", Working!$A:$A)), MOD(ROW()-ROW(G$2)+G$1, COUNTA(Working!$A$2:INDEX(Working!$A:$A, MATCH("zzz", Working!$A:$A)))) + 1))</f>
        <v/>
      </c>
      <c r="H297" t="str" cm="1">
        <f t="array" ref="H297">IF(Working!$A297="","",INDEX(Working!$A$2:INDEX(Working!$A:$A, MATCH("zzz", Working!$A:$A)), MOD(ROW()-ROW(H$2)+H$1, COUNTA(Working!$A$2:INDEX(Working!$A:$A, MATCH("zzz", Working!$A:$A)))) + 1))</f>
        <v/>
      </c>
      <c r="I297" t="str" cm="1">
        <f t="array" ref="I297">IF(Working!$A297="","",INDEX(Working!$A$2:INDEX(Working!$A:$A, MATCH("zzz", Working!$A:$A)), MOD(ROW()-ROW(I$2)+I$1, COUNTA(Working!$A$2:INDEX(Working!$A:$A, MATCH("zzz", Working!$A:$A)))) + 1))</f>
        <v/>
      </c>
      <c r="J297" t="str" cm="1">
        <f t="array" ref="J297">IF(Working!$A297="","",INDEX(Working!$A$2:INDEX(Working!$A:$A, MATCH("zzz", Working!$A:$A)), MOD(ROW()-ROW(J$2)+J$1, COUNTA(Working!$A$2:INDEX(Working!$A:$A, MATCH("zzz", Working!$A:$A)))) + 1))</f>
        <v/>
      </c>
      <c r="K297" t="str" cm="1">
        <f t="array" ref="K297">IF(Working!$A297="","",INDEX(Working!$A$2:INDEX(Working!$A:$A, MATCH("zzz", Working!$A:$A)), MOD(ROW()-ROW(K$2)+K$1, COUNTA(Working!$A$2:INDEX(Working!$A:$A, MATCH("zzz", Working!$A:$A)))) + 1))</f>
        <v/>
      </c>
      <c r="L297" t="str" cm="1">
        <f t="array" ref="L297">IF(Working!$A297="","",INDEX(Working!$A$2:INDEX(Working!$A:$A, MATCH("zzz", Working!$A:$A)), MOD(ROW()-ROW(L$2)+L$1, COUNTA(Working!$A$2:INDEX(Working!$A:$A, MATCH("zzz", Working!$A:$A)))) + 1))</f>
        <v/>
      </c>
    </row>
    <row r="298" spans="3:12" ht="15.75" customHeight="1" x14ac:dyDescent="0.2">
      <c r="C298" t="str" cm="1">
        <f t="array" ref="C298">IF(Working!$A298="","",INDEX(Working!$A$2:INDEX(Working!$A:$A, MATCH("zzz", Working!$A:$A)), MOD(ROW()-ROW(C$2)+C$1, COUNTA(Working!$A$2:INDEX(Working!$A:$A, MATCH("zzz", Working!$A:$A)))) + 1))</f>
        <v/>
      </c>
      <c r="D298" t="str" cm="1">
        <f t="array" ref="D298">IF(Working!$A298="","",INDEX(Working!$A$2:INDEX(Working!$A:$A, MATCH("zzz", Working!$A:$A)), MOD(ROW()-ROW(D$2)+D$1, COUNTA(Working!$A$2:INDEX(Working!$A:$A, MATCH("zzz", Working!$A:$A)))) + 1))</f>
        <v/>
      </c>
      <c r="E298" t="str" cm="1">
        <f t="array" ref="E298">IF(Working!$A298="","",INDEX(Working!$A$2:INDEX(Working!$A:$A, MATCH("zzz", Working!$A:$A)), MOD(ROW()-ROW(E$2)+E$1, COUNTA(Working!$A$2:INDEX(Working!$A:$A, MATCH("zzz", Working!$A:$A)))) + 1))</f>
        <v/>
      </c>
      <c r="F298" t="str" cm="1">
        <f t="array" ref="F298">IF(Working!$A298="","",INDEX(Working!$A$2:INDEX(Working!$A:$A, MATCH("zzz", Working!$A:$A)), MOD(ROW()-ROW(F$2)+F$1, COUNTA(Working!$A$2:INDEX(Working!$A:$A, MATCH("zzz", Working!$A:$A)))) + 1))</f>
        <v/>
      </c>
      <c r="G298" t="str" cm="1">
        <f t="array" ref="G298">IF(Working!$A298="","",INDEX(Working!$A$2:INDEX(Working!$A:$A, MATCH("zzz", Working!$A:$A)), MOD(ROW()-ROW(G$2)+G$1, COUNTA(Working!$A$2:INDEX(Working!$A:$A, MATCH("zzz", Working!$A:$A)))) + 1))</f>
        <v/>
      </c>
      <c r="H298" t="str" cm="1">
        <f t="array" ref="H298">IF(Working!$A298="","",INDEX(Working!$A$2:INDEX(Working!$A:$A, MATCH("zzz", Working!$A:$A)), MOD(ROW()-ROW(H$2)+H$1, COUNTA(Working!$A$2:INDEX(Working!$A:$A, MATCH("zzz", Working!$A:$A)))) + 1))</f>
        <v/>
      </c>
      <c r="I298" t="str" cm="1">
        <f t="array" ref="I298">IF(Working!$A298="","",INDEX(Working!$A$2:INDEX(Working!$A:$A, MATCH("zzz", Working!$A:$A)), MOD(ROW()-ROW(I$2)+I$1, COUNTA(Working!$A$2:INDEX(Working!$A:$A, MATCH("zzz", Working!$A:$A)))) + 1))</f>
        <v/>
      </c>
      <c r="J298" t="str" cm="1">
        <f t="array" ref="J298">IF(Working!$A298="","",INDEX(Working!$A$2:INDEX(Working!$A:$A, MATCH("zzz", Working!$A:$A)), MOD(ROW()-ROW(J$2)+J$1, COUNTA(Working!$A$2:INDEX(Working!$A:$A, MATCH("zzz", Working!$A:$A)))) + 1))</f>
        <v/>
      </c>
      <c r="K298" t="str" cm="1">
        <f t="array" ref="K298">IF(Working!$A298="","",INDEX(Working!$A$2:INDEX(Working!$A:$A, MATCH("zzz", Working!$A:$A)), MOD(ROW()-ROW(K$2)+K$1, COUNTA(Working!$A$2:INDEX(Working!$A:$A, MATCH("zzz", Working!$A:$A)))) + 1))</f>
        <v/>
      </c>
      <c r="L298" t="str" cm="1">
        <f t="array" ref="L298">IF(Working!$A298="","",INDEX(Working!$A$2:INDEX(Working!$A:$A, MATCH("zzz", Working!$A:$A)), MOD(ROW()-ROW(L$2)+L$1, COUNTA(Working!$A$2:INDEX(Working!$A:$A, MATCH("zzz", Working!$A:$A)))) + 1))</f>
        <v/>
      </c>
    </row>
    <row r="299" spans="3:12" ht="15.75" customHeight="1" x14ac:dyDescent="0.2">
      <c r="C299" t="str" cm="1">
        <f t="array" ref="C299">IF(Working!$A299="","",INDEX(Working!$A$2:INDEX(Working!$A:$A, MATCH("zzz", Working!$A:$A)), MOD(ROW()-ROW(C$2)+C$1, COUNTA(Working!$A$2:INDEX(Working!$A:$A, MATCH("zzz", Working!$A:$A)))) + 1))</f>
        <v/>
      </c>
      <c r="D299" t="str" cm="1">
        <f t="array" ref="D299">IF(Working!$A299="","",INDEX(Working!$A$2:INDEX(Working!$A:$A, MATCH("zzz", Working!$A:$A)), MOD(ROW()-ROW(D$2)+D$1, COUNTA(Working!$A$2:INDEX(Working!$A:$A, MATCH("zzz", Working!$A:$A)))) + 1))</f>
        <v/>
      </c>
      <c r="E299" t="str" cm="1">
        <f t="array" ref="E299">IF(Working!$A299="","",INDEX(Working!$A$2:INDEX(Working!$A:$A, MATCH("zzz", Working!$A:$A)), MOD(ROW()-ROW(E$2)+E$1, COUNTA(Working!$A$2:INDEX(Working!$A:$A, MATCH("zzz", Working!$A:$A)))) + 1))</f>
        <v/>
      </c>
      <c r="F299" t="str" cm="1">
        <f t="array" ref="F299">IF(Working!$A299="","",INDEX(Working!$A$2:INDEX(Working!$A:$A, MATCH("zzz", Working!$A:$A)), MOD(ROW()-ROW(F$2)+F$1, COUNTA(Working!$A$2:INDEX(Working!$A:$A, MATCH("zzz", Working!$A:$A)))) + 1))</f>
        <v/>
      </c>
      <c r="G299" t="str" cm="1">
        <f t="array" ref="G299">IF(Working!$A299="","",INDEX(Working!$A$2:INDEX(Working!$A:$A, MATCH("zzz", Working!$A:$A)), MOD(ROW()-ROW(G$2)+G$1, COUNTA(Working!$A$2:INDEX(Working!$A:$A, MATCH("zzz", Working!$A:$A)))) + 1))</f>
        <v/>
      </c>
      <c r="H299" t="str" cm="1">
        <f t="array" ref="H299">IF(Working!$A299="","",INDEX(Working!$A$2:INDEX(Working!$A:$A, MATCH("zzz", Working!$A:$A)), MOD(ROW()-ROW(H$2)+H$1, COUNTA(Working!$A$2:INDEX(Working!$A:$A, MATCH("zzz", Working!$A:$A)))) + 1))</f>
        <v/>
      </c>
      <c r="I299" t="str" cm="1">
        <f t="array" ref="I299">IF(Working!$A299="","",INDEX(Working!$A$2:INDEX(Working!$A:$A, MATCH("zzz", Working!$A:$A)), MOD(ROW()-ROW(I$2)+I$1, COUNTA(Working!$A$2:INDEX(Working!$A:$A, MATCH("zzz", Working!$A:$A)))) + 1))</f>
        <v/>
      </c>
      <c r="J299" t="str" cm="1">
        <f t="array" ref="J299">IF(Working!$A299="","",INDEX(Working!$A$2:INDEX(Working!$A:$A, MATCH("zzz", Working!$A:$A)), MOD(ROW()-ROW(J$2)+J$1, COUNTA(Working!$A$2:INDEX(Working!$A:$A, MATCH("zzz", Working!$A:$A)))) + 1))</f>
        <v/>
      </c>
      <c r="K299" t="str" cm="1">
        <f t="array" ref="K299">IF(Working!$A299="","",INDEX(Working!$A$2:INDEX(Working!$A:$A, MATCH("zzz", Working!$A:$A)), MOD(ROW()-ROW(K$2)+K$1, COUNTA(Working!$A$2:INDEX(Working!$A:$A, MATCH("zzz", Working!$A:$A)))) + 1))</f>
        <v/>
      </c>
      <c r="L299" t="str" cm="1">
        <f t="array" ref="L299">IF(Working!$A299="","",INDEX(Working!$A$2:INDEX(Working!$A:$A, MATCH("zzz", Working!$A:$A)), MOD(ROW()-ROW(L$2)+L$1, COUNTA(Working!$A$2:INDEX(Working!$A:$A, MATCH("zzz", Working!$A:$A)))) + 1))</f>
        <v/>
      </c>
    </row>
    <row r="300" spans="3:12" ht="15.75" customHeight="1" x14ac:dyDescent="0.2">
      <c r="C300" t="str" cm="1">
        <f t="array" ref="C300">IF(Working!$A300="","",INDEX(Working!$A$2:INDEX(Working!$A:$A, MATCH("zzz", Working!$A:$A)), MOD(ROW()-ROW(C$2)+C$1, COUNTA(Working!$A$2:INDEX(Working!$A:$A, MATCH("zzz", Working!$A:$A)))) + 1))</f>
        <v/>
      </c>
      <c r="D300" t="str" cm="1">
        <f t="array" ref="D300">IF(Working!$A300="","",INDEX(Working!$A$2:INDEX(Working!$A:$A, MATCH("zzz", Working!$A:$A)), MOD(ROW()-ROW(D$2)+D$1, COUNTA(Working!$A$2:INDEX(Working!$A:$A, MATCH("zzz", Working!$A:$A)))) + 1))</f>
        <v/>
      </c>
      <c r="E300" t="str" cm="1">
        <f t="array" ref="E300">IF(Working!$A300="","",INDEX(Working!$A$2:INDEX(Working!$A:$A, MATCH("zzz", Working!$A:$A)), MOD(ROW()-ROW(E$2)+E$1, COUNTA(Working!$A$2:INDEX(Working!$A:$A, MATCH("zzz", Working!$A:$A)))) + 1))</f>
        <v/>
      </c>
      <c r="F300" t="str" cm="1">
        <f t="array" ref="F300">IF(Working!$A300="","",INDEX(Working!$A$2:INDEX(Working!$A:$A, MATCH("zzz", Working!$A:$A)), MOD(ROW()-ROW(F$2)+F$1, COUNTA(Working!$A$2:INDEX(Working!$A:$A, MATCH("zzz", Working!$A:$A)))) + 1))</f>
        <v/>
      </c>
      <c r="G300" t="str" cm="1">
        <f t="array" ref="G300">IF(Working!$A300="","",INDEX(Working!$A$2:INDEX(Working!$A:$A, MATCH("zzz", Working!$A:$A)), MOD(ROW()-ROW(G$2)+G$1, COUNTA(Working!$A$2:INDEX(Working!$A:$A, MATCH("zzz", Working!$A:$A)))) + 1))</f>
        <v/>
      </c>
      <c r="H300" t="str" cm="1">
        <f t="array" ref="H300">IF(Working!$A300="","",INDEX(Working!$A$2:INDEX(Working!$A:$A, MATCH("zzz", Working!$A:$A)), MOD(ROW()-ROW(H$2)+H$1, COUNTA(Working!$A$2:INDEX(Working!$A:$A, MATCH("zzz", Working!$A:$A)))) + 1))</f>
        <v/>
      </c>
      <c r="I300" t="str" cm="1">
        <f t="array" ref="I300">IF(Working!$A300="","",INDEX(Working!$A$2:INDEX(Working!$A:$A, MATCH("zzz", Working!$A:$A)), MOD(ROW()-ROW(I$2)+I$1, COUNTA(Working!$A$2:INDEX(Working!$A:$A, MATCH("zzz", Working!$A:$A)))) + 1))</f>
        <v/>
      </c>
      <c r="J300" t="str" cm="1">
        <f t="array" ref="J300">IF(Working!$A300="","",INDEX(Working!$A$2:INDEX(Working!$A:$A, MATCH("zzz", Working!$A:$A)), MOD(ROW()-ROW(J$2)+J$1, COUNTA(Working!$A$2:INDEX(Working!$A:$A, MATCH("zzz", Working!$A:$A)))) + 1))</f>
        <v/>
      </c>
      <c r="K300" t="str" cm="1">
        <f t="array" ref="K300">IF(Working!$A300="","",INDEX(Working!$A$2:INDEX(Working!$A:$A, MATCH("zzz", Working!$A:$A)), MOD(ROW()-ROW(K$2)+K$1, COUNTA(Working!$A$2:INDEX(Working!$A:$A, MATCH("zzz", Working!$A:$A)))) + 1))</f>
        <v/>
      </c>
      <c r="L300" t="str" cm="1">
        <f t="array" ref="L300">IF(Working!$A300="","",INDEX(Working!$A$2:INDEX(Working!$A:$A, MATCH("zzz", Working!$A:$A)), MOD(ROW()-ROW(L$2)+L$1, COUNTA(Working!$A$2:INDEX(Working!$A:$A, MATCH("zzz", Working!$A:$A)))) + 1))</f>
        <v/>
      </c>
    </row>
  </sheetData>
  <dataValidations count="1">
    <dataValidation type="list" allowBlank="1" showInputMessage="1" showErrorMessage="1" sqref="N1" xr:uid="{66EBB747-E01E-4757-B87E-BD3971682762}">
      <formula1>Z:Z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C5FA7-D399-4825-B937-C029CDF90BDA}">
  <sheetPr codeName="Sheet8">
    <outlinePr summaryBelow="0" summaryRight="0"/>
  </sheetPr>
  <dimension ref="A1:B32"/>
  <sheetViews>
    <sheetView workbookViewId="0">
      <pane ySplit="1" topLeftCell="A20" activePane="bottomLeft" state="frozen"/>
      <selection pane="bottomLeft" activeCell="A3" sqref="A3"/>
    </sheetView>
  </sheetViews>
  <sheetFormatPr defaultColWidth="12.5703125" defaultRowHeight="15.75" customHeight="1" x14ac:dyDescent="0.2"/>
  <cols>
    <col min="1" max="1" width="17" customWidth="1"/>
    <col min="2" max="2" width="28" customWidth="1"/>
  </cols>
  <sheetData>
    <row r="1" spans="1:2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</row>
    <row r="2" spans="1:2" ht="15.75" customHeight="1" x14ac:dyDescent="0.2">
      <c r="A2" t="str" cm="1">
        <f t="array" ref="A2:B32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_xlpm.sortedData
)</f>
        <v>androidapps</v>
      </c>
      <c r="B2" t="str">
        <v>001</v>
      </c>
    </row>
    <row r="3" spans="1:2" ht="15.75" customHeight="1" x14ac:dyDescent="0.2">
      <c r="A3" t="str">
        <v>emulators</v>
      </c>
      <c r="B3" t="str">
        <v>002</v>
      </c>
    </row>
    <row r="4" spans="1:2" ht="15.75" customHeight="1" x14ac:dyDescent="0.2">
      <c r="A4" t="str">
        <v>androidgames</v>
      </c>
      <c r="B4" t="str">
        <v>003</v>
      </c>
    </row>
    <row r="5" spans="1:2" ht="15.75" customHeight="1" x14ac:dyDescent="0.2">
      <c r="A5" t="str">
        <v>windows</v>
      </c>
      <c r="B5" t="str">
        <v>004</v>
      </c>
    </row>
    <row r="6" spans="1:2" ht="15.75" customHeight="1" x14ac:dyDescent="0.2">
      <c r="A6" t="str">
        <v>arcade</v>
      </c>
      <c r="B6" t="str">
        <v>004a</v>
      </c>
    </row>
    <row r="7" spans="1:2" ht="15.75" customHeight="1" x14ac:dyDescent="0.2">
      <c r="A7" t="str">
        <v>nes</v>
      </c>
      <c r="B7" t="str">
        <v>005</v>
      </c>
    </row>
    <row r="8" spans="1:2" ht="15.75" customHeight="1" x14ac:dyDescent="0.2">
      <c r="A8" t="str">
        <v>snes</v>
      </c>
      <c r="B8" t="str">
        <v>006</v>
      </c>
    </row>
    <row r="9" spans="1:2" ht="15.75" customHeight="1" x14ac:dyDescent="0.2">
      <c r="A9" t="str">
        <v>n64</v>
      </c>
      <c r="B9" t="str">
        <v>007</v>
      </c>
    </row>
    <row r="10" spans="1:2" ht="15.75" customHeight="1" x14ac:dyDescent="0.2">
      <c r="A10" t="str">
        <v>gc</v>
      </c>
      <c r="B10" t="str">
        <v>008</v>
      </c>
    </row>
    <row r="11" spans="1:2" ht="15.75" customHeight="1" x14ac:dyDescent="0.2">
      <c r="A11" t="str">
        <v>wii</v>
      </c>
      <c r="B11" t="str">
        <v>009</v>
      </c>
    </row>
    <row r="12" spans="1:2" ht="15.75" customHeight="1" x14ac:dyDescent="0.2">
      <c r="A12" t="str">
        <v>wiiu</v>
      </c>
      <c r="B12" t="str">
        <v>010</v>
      </c>
    </row>
    <row r="13" spans="1:2" ht="15.75" customHeight="1" x14ac:dyDescent="0.2">
      <c r="A13" t="str">
        <v>switch</v>
      </c>
      <c r="B13" t="str">
        <v>011</v>
      </c>
    </row>
    <row r="14" spans="1:2" ht="15.75" customHeight="1" x14ac:dyDescent="0.2">
      <c r="A14" t="str">
        <v>gb</v>
      </c>
      <c r="B14" t="str">
        <v>012</v>
      </c>
    </row>
    <row r="15" spans="1:2" ht="15.75" customHeight="1" x14ac:dyDescent="0.2">
      <c r="A15" t="str">
        <v>gbc</v>
      </c>
      <c r="B15" t="str">
        <v>013</v>
      </c>
    </row>
    <row r="16" spans="1:2" ht="15.75" customHeight="1" x14ac:dyDescent="0.2">
      <c r="A16" t="str">
        <v>gba</v>
      </c>
      <c r="B16" t="str">
        <v>014</v>
      </c>
    </row>
    <row r="17" spans="1:2" ht="15.75" customHeight="1" x14ac:dyDescent="0.2">
      <c r="A17" t="str">
        <v>nds</v>
      </c>
      <c r="B17" t="str">
        <v>015</v>
      </c>
    </row>
    <row r="18" spans="1:2" ht="15.75" customHeight="1" x14ac:dyDescent="0.2">
      <c r="A18" t="str">
        <v>n3ds</v>
      </c>
      <c r="B18" t="str">
        <v>016</v>
      </c>
    </row>
    <row r="19" spans="1:2" ht="15.75" customHeight="1" x14ac:dyDescent="0.2">
      <c r="A19" t="str">
        <v>mastersystem</v>
      </c>
      <c r="B19" t="str">
        <v>017</v>
      </c>
    </row>
    <row r="20" spans="1:2" ht="15.75" customHeight="1" x14ac:dyDescent="0.2">
      <c r="A20" t="str">
        <v>genesis</v>
      </c>
      <c r="B20" t="str">
        <v>018</v>
      </c>
    </row>
    <row r="21" spans="1:2" ht="15.75" customHeight="1" x14ac:dyDescent="0.2">
      <c r="A21" t="str">
        <v>segacd</v>
      </c>
      <c r="B21" t="str">
        <v>019</v>
      </c>
    </row>
    <row r="22" spans="1:2" ht="15.75" customHeight="1" x14ac:dyDescent="0.2">
      <c r="A22" t="str">
        <v>saturn</v>
      </c>
      <c r="B22" t="str">
        <v>020</v>
      </c>
    </row>
    <row r="23" spans="1:2" ht="15.75" customHeight="1" x14ac:dyDescent="0.2">
      <c r="A23" t="str">
        <v>dreamcast</v>
      </c>
      <c r="B23" t="str">
        <v>021</v>
      </c>
    </row>
    <row r="24" spans="1:2" ht="15.75" customHeight="1" x14ac:dyDescent="0.2">
      <c r="A24" t="str">
        <v>gamegear</v>
      </c>
      <c r="B24" t="str">
        <v>022</v>
      </c>
    </row>
    <row r="25" spans="1:2" ht="15.75" customHeight="1" x14ac:dyDescent="0.2">
      <c r="A25" t="str">
        <v>neogeo</v>
      </c>
      <c r="B25" t="str">
        <v>023</v>
      </c>
    </row>
    <row r="26" spans="1:2" ht="15.75" customHeight="1" x14ac:dyDescent="0.2">
      <c r="A26" t="str">
        <v>psx</v>
      </c>
      <c r="B26" t="str">
        <v>024</v>
      </c>
    </row>
    <row r="27" spans="1:2" ht="15.75" customHeight="1" x14ac:dyDescent="0.2">
      <c r="A27" t="str">
        <v>ps2</v>
      </c>
      <c r="B27" t="str">
        <v>025</v>
      </c>
    </row>
    <row r="28" spans="1:2" ht="15.75" customHeight="1" x14ac:dyDescent="0.2">
      <c r="A28" t="str">
        <v>ps3</v>
      </c>
      <c r="B28" t="str">
        <v>026</v>
      </c>
    </row>
    <row r="29" spans="1:2" ht="15.75" customHeight="1" x14ac:dyDescent="0.2">
      <c r="A29" t="str">
        <v>psp</v>
      </c>
      <c r="B29" t="str">
        <v>027</v>
      </c>
    </row>
    <row r="30" spans="1:2" ht="15.75" customHeight="1" x14ac:dyDescent="0.2">
      <c r="A30" t="str">
        <v>psvita</v>
      </c>
      <c r="B30" t="str">
        <v>028</v>
      </c>
    </row>
    <row r="31" spans="1:2" ht="15.75" customHeight="1" x14ac:dyDescent="0.2">
      <c r="A31" t="str">
        <v>ports</v>
      </c>
      <c r="B31" t="str">
        <v>029</v>
      </c>
    </row>
    <row r="32" spans="1:2" ht="15.75" customHeight="1" x14ac:dyDescent="0.2">
      <c r="A32" t="str">
        <v>vircon32</v>
      </c>
      <c r="B32" t="str">
        <v>030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816EF-E44D-4803-AB1C-40DA9D9AC79D}">
  <sheetPr codeName="Sheet5"/>
  <dimension ref="A1:C13"/>
  <sheetViews>
    <sheetView workbookViewId="0">
      <selection activeCell="E26" sqref="E26"/>
    </sheetView>
  </sheetViews>
  <sheetFormatPr defaultRowHeight="12.75" x14ac:dyDescent="0.2"/>
  <sheetData>
    <row r="1" spans="1:3" x14ac:dyDescent="0.2">
      <c r="A1" t="s">
        <v>529</v>
      </c>
    </row>
    <row r="2" spans="1:3" x14ac:dyDescent="0.2">
      <c r="A2" t="s">
        <v>528</v>
      </c>
      <c r="B2" t="s">
        <v>530</v>
      </c>
    </row>
    <row r="3" spans="1:3" x14ac:dyDescent="0.2">
      <c r="C3" t="str">
        <f ca="1">"&lt;systemMinus2&gt;"&amp;Working!O2&amp;"&lt;/systemMinus2&gt;"</f>
        <v>&lt;systemMinus2&gt;auto-allgames&lt;/systemMinus2&gt;</v>
      </c>
    </row>
    <row r="4" spans="1:3" x14ac:dyDescent="0.2">
      <c r="C4" t="str">
        <f ca="1">"&lt;systemMinus1&gt;"&amp;Working!P2&amp;"&lt;/systemMinus1&gt;"</f>
        <v>&lt;systemMinus1&gt;auto-favorites&lt;/systemMinus1&gt;</v>
      </c>
    </row>
    <row r="5" spans="1:3" x14ac:dyDescent="0.2">
      <c r="C5" t="str">
        <f ca="1">"&lt;systemPlus1&gt;"&amp;Working!R2&amp;"&lt;/systemPlus1&gt;"</f>
        <v>&lt;systemPlus1&gt;androidapps&lt;/systemPlus1&gt;</v>
      </c>
    </row>
    <row r="6" spans="1:3" x14ac:dyDescent="0.2">
      <c r="C6" t="str">
        <f ca="1">"&lt;systemPlus2&gt;"&amp;Working!S2&amp;"&lt;/systemPlus2&gt;"</f>
        <v>&lt;systemPlus2&gt;emulators&lt;/systemPlus2&gt;</v>
      </c>
    </row>
    <row r="7" spans="1:3" x14ac:dyDescent="0.2">
      <c r="C7" t="str">
        <f ca="1">"&lt;systemPlus3&gt;"&amp;Working!T2&amp;"&lt;/systemPlus3&gt;"</f>
        <v>&lt;systemPlus3&gt;androidgames&lt;/systemPlus3&gt;</v>
      </c>
    </row>
    <row r="8" spans="1:3" x14ac:dyDescent="0.2">
      <c r="C8" t="str">
        <f ca="1">"&lt;systemPlus4&gt;"&amp;Working!U2&amp;"&lt;/systemPlus4&gt;"</f>
        <v>&lt;systemPlus4&gt;windows&lt;/systemPlus4&gt;</v>
      </c>
    </row>
    <row r="9" spans="1:3" x14ac:dyDescent="0.2">
      <c r="C9" t="str">
        <f ca="1">"&lt;systemPlus5&gt;"&amp;Working!V2&amp;"&lt;/systemPlus5&gt;"</f>
        <v>&lt;systemPlus5&gt;arcade&lt;/systemPlus5&gt;</v>
      </c>
    </row>
    <row r="10" spans="1:3" x14ac:dyDescent="0.2">
      <c r="C10" t="str">
        <f ca="1">"&lt;systemPlus6&gt;"&amp;Working!W2&amp;"&lt;/systemPlus6&gt;"</f>
        <v>&lt;systemPlus6&gt;nes&lt;/systemPlus6&gt;</v>
      </c>
    </row>
    <row r="11" spans="1:3" x14ac:dyDescent="0.2">
      <c r="C11" t="str">
        <f ca="1">"&lt;systemPlus7&gt;"&amp;Working!X2&amp;"&lt;/systemPlus7&gt;"</f>
        <v>&lt;systemPlus7&gt;snes&lt;/systemPlus7&gt;</v>
      </c>
    </row>
    <row r="12" spans="1:3" x14ac:dyDescent="0.2">
      <c r="A12" t="s">
        <v>528</v>
      </c>
      <c r="B12" t="s">
        <v>531</v>
      </c>
    </row>
    <row r="13" spans="1:3" x14ac:dyDescent="0.2">
      <c r="A13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Systems</vt:lpstr>
      <vt:lpstr>Auto-Collections</vt:lpstr>
      <vt:lpstr>Custom-Collections</vt:lpstr>
      <vt:lpstr>Output</vt:lpstr>
      <vt:lpstr>Working</vt:lpstr>
      <vt:lpstr>SystemSort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2025-05-12T10:09:30Z</dcterms:created>
  <dcterms:modified xsi:type="dcterms:W3CDTF">2025-05-23T23:05:05Z</dcterms:modified>
</cp:coreProperties>
</file>